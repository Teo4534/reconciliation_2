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ME" sheetId="2" state="visible" r:id="rId4"/>
    <sheet name="Rates" sheetId="3" state="visible" r:id="rId5"/>
    <sheet name="Terms" sheetId="4" state="visible" r:id="rId6"/>
    <sheet name="Families" sheetId="5" state="visible" r:id="rId7"/>
    <sheet name="Children" sheetId="6" state="visible" r:id="rId8"/>
    <sheet name="Receipts" sheetId="7" state="visible" r:id="rId9"/>
    <sheet name="Review" sheetId="8" state="visible" r:id="rId10"/>
    <sheet name="Position" sheetId="9" state="visible" r:id="rId11"/>
  </sheets>
  <definedNames>
    <definedName function="false" hidden="true" localSheetId="5" name="_xlnm._FilterDatabase" vbProcedure="false">Children!$A$3:$V$97</definedName>
    <definedName function="false" hidden="true" localSheetId="4" name="_xlnm._FilterDatabase" vbProcedure="false">Families!$A$3:$H$64</definedName>
    <definedName function="false" hidden="true" localSheetId="8" name="_xlnm._FilterDatabase" vbProcedure="false">Position!$A$4:$M$64</definedName>
    <definedName function="false" hidden="true" localSheetId="6" name="_xlnm._FilterDatabase" vbProcedure="false">Receipts!$A$3:$N$83</definedName>
    <definedName function="false" hidden="true" localSheetId="7" name="_xlnm._FilterDatabase" vbProcedure="false">Review!$A$3:$K$14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3" authorId="0">
      <text>
        <r>
          <rPr>
            <sz val="10"/>
            <rFont val="Arial"/>
            <family val="2"/>
          </rPr>
          <t xml:space="preserve">Leave blank for a standard term. Enter sessions only when the child is billed for a different number, e.g. 9 sessions, or 10.5 for half a sibling share.</t>
        </r>
      </text>
    </comment>
  </commentList>
</comments>
</file>

<file path=xl/sharedStrings.xml><?xml version="1.0" encoding="utf-8"?>
<sst xmlns="http://schemas.openxmlformats.org/spreadsheetml/2006/main" count="2251" uniqueCount="835">
  <si>
    <t xml:space="preserve">Summary — all formulas</t>
  </si>
  <si>
    <t xml:space="preserve">Receipts</t>
  </si>
  <si>
    <t xml:space="preserve">Bank lines</t>
  </si>
  <si>
    <t xml:space="preserve">Money in</t>
  </si>
  <si>
    <t xml:space="preserve">Money out (refunds / outflows)</t>
  </si>
  <si>
    <t xml:space="preserve">Money in — AUT-2025</t>
  </si>
  <si>
    <t xml:space="preserve">Money in — JAN-2026</t>
  </si>
  <si>
    <t xml:space="preserve">Allocation by tier (all terms)</t>
  </si>
  <si>
    <t xml:space="preserve">M — manual override  [lines]</t>
  </si>
  <si>
    <t xml:space="preserve">M — manual override  [£ in]</t>
  </si>
  <si>
    <t xml:space="preserve">A — reference or verified payer alias  [lines]</t>
  </si>
  <si>
    <t xml:space="preserve">A — reference or verified payer alias  [£ in]</t>
  </si>
  <si>
    <t xml:space="preserve">B — unique surname in memo  [lines]</t>
  </si>
  <si>
    <t xml:space="preserve">B — unique surname in memo  [£ in]</t>
  </si>
  <si>
    <t xml:space="preserve">C — fuzzy / first name (review)  [lines]</t>
  </si>
  <si>
    <t xml:space="preserve">C — fuzzy / first name (review)  [£ in]</t>
  </si>
  <si>
    <t xml:space="preserve">D — nothing usable or ambiguous (review)  [lines]</t>
  </si>
  <si>
    <t xml:space="preserve">D — nothing usable or ambiguous (review)  [£ in]</t>
  </si>
  <si>
    <t xml:space="preserve">X — reference contradicts memo (review)  [lines]</t>
  </si>
  <si>
    <t xml:space="preserve">X — reference contradicts memo (review)  [£ in]</t>
  </si>
  <si>
    <t xml:space="preserve">Lines allocated automatically</t>
  </si>
  <si>
    <t xml:space="preserve">Share of lines allocated automatically</t>
  </si>
  <si>
    <t xml:space="preserve">JAN-2026 money in allocated</t>
  </si>
  <si>
    <t xml:space="preserve">JAN-2026 money in awaiting review</t>
  </si>
  <si>
    <t xml:space="preserve">Lines in Review queue</t>
  </si>
  <si>
    <t xml:space="preserve">Position — JAN-2026</t>
  </si>
  <si>
    <t xml:space="preserve">Expected income (rules)</t>
  </si>
  <si>
    <t xml:space="preserve">Received (allocated)</t>
  </si>
  <si>
    <t xml:space="preserve">Outstanding</t>
  </si>
  <si>
    <t xml:space="preserve">Families settled</t>
  </si>
  <si>
    <t xml:space="preserve">Families part paid</t>
  </si>
  <si>
    <t xml:space="preserve">Families with nothing allocated</t>
  </si>
  <si>
    <t xml:space="preserve">Families overpaid</t>
  </si>
  <si>
    <t xml:space="preserve">Families flagged 'needs a look'</t>
  </si>
  <si>
    <t xml:space="preserve">Rule check</t>
  </si>
  <si>
    <t xml:space="preserve">Children billed</t>
  </si>
  <si>
    <t xml:space="preserve">Invoices reproduced exactly by the fee rules</t>
  </si>
  <si>
    <t xml:space="preserve">Outstanding is overstated by whatever sits in Review and by any 2026 money tagged to AUT-2025. The AUT-2025 register is not loaded, so autumn has no position yet.</t>
  </si>
  <si>
    <t xml:space="preserve">Fee ledger — how it works</t>
  </si>
  <si>
    <t xml:space="preserve">Built from the pupil roster and the bank export. Health, guardian-contact and free-text pupil columns were deliberately not carried over.</t>
  </si>
  <si>
    <t xml:space="preserve">Where to look</t>
  </si>
  <si>
    <t xml:space="preserve">Position — the answer sheet. One row per family: what they owe, what came in, every receipt reference, whether it is settled. Colour-coded. Start here.</t>
  </si>
  <si>
    <t xml:space="preserve">Review — the only sheet that needs you. Receipts the engine would not allocate, with candidates and a reason. Decide, type the family ID into Receipts column F, re-run.</t>
  </si>
  <si>
    <t xml:space="preserve">Receipts — every bank line and what the engine did with it.</t>
  </si>
  <si>
    <t xml:space="preserve">Children / Families — the roster, and the fee each child should be charged. Difference and Check compare that with what the roster actually invoiced.</t>
  </si>
  <si>
    <t xml:space="preserve">Rates / Terms — the fee rules and the session counts. Change a number here and everything recalculates.</t>
  </si>
  <si>
    <t xml:space="preserve">Summary — headline figures.</t>
  </si>
  <si>
    <t xml:space="preserve">Colour key</t>
  </si>
  <si>
    <t xml:space="preserve">Blue text = typed in from a source file. Black = formula. Yellow fill = for you to fill in. Green = written by the engine.</t>
  </si>
  <si>
    <t xml:space="preserve">Green row / red row on Position = settled / owing. Amber = needs a look before you chase: a receipt sitting in Review, or money tagged to the wrong term.</t>
  </si>
  <si>
    <t xml:space="preserve">Red cell in Children = the roster invoiced something the fee rules do not produce.</t>
  </si>
  <si>
    <t xml:space="preserve">How a receipt gets a family</t>
  </si>
  <si>
    <t xml:space="preserve">Ranked evidence, first hit wins: your manual override; then the invoice reference, or a payer name already seen with a verified reference; then a unique surname in the memo; then fuzzy evidence such as a truncated surname or a child's first name. The first three allocate automatically, the rest go to Review. If the reference and the payer name disagree, nothing is allocated and the line is flagged.</t>
  </si>
  <si>
    <t xml:space="preserve">Assumptions — confirm these with the office</t>
  </si>
  <si>
    <t xml:space="preserve">Rates come from the January price list: £195 / £345 / £460 / £571 per 10 sessions for 1-4 siblings on Saturdays, £160 per child for Wednesdays, £25 registration, £25 supplies.</t>
  </si>
  <si>
    <t xml:space="preserve">Sessions per term are inferred from the amounts invoiced, not from a timetable: 21 Saturdays this term, 11 last term, 20 Wednesdays. Sibling pricing is treated as a family rate split evenly between the children.</t>
  </si>
  <si>
    <t xml:space="preserve">The autumn invoice register was never supplied, so autumn receipts can be tied to a family but not to an invoice.</t>
  </si>
  <si>
    <t xml:space="preserve">What the roster got wrong</t>
  </si>
  <si>
    <t xml:space="preserve">Invoice numbers shared by unrelated families: 2026-008 — so the invoice number cannot be the family key, hence FAM-nnn.</t>
  </si>
  <si>
    <t xml:space="preserve">1 enrolled children have no invoice number and no fee. Two of them have payment notes, so money may have arrived with nothing to match it to.</t>
  </si>
  <si>
    <t xml:space="preserve">1 discounts were stored as negative numbers in the supplies column; they are a proper Discount column here. Invoice numbers out of sequence: .</t>
  </si>
  <si>
    <t xml:space="preserve">One invoice charges £18 supplies instead of £25 — the only invoice the fee rules cannot reproduce.</t>
  </si>
  <si>
    <t xml:space="preserve">To re-run</t>
  </si>
  <si>
    <t xml:space="preserve">Replace the bank export, run build_ledger.py then reconcile.py. Copy column F of Receipts and the alias column of Families first — manual decisions live in the workbook, not in the scripts.</t>
  </si>
  <si>
    <t xml:space="preserve">Fee rules — inputs (blue). Source: charity price list, January 2026 (photo supplied by user).</t>
  </si>
  <si>
    <t xml:space="preserve">Item</t>
  </si>
  <si>
    <t xml:space="preserve">Basis</t>
  </si>
  <si>
    <t xml:space="preserve">£ per session / per item</t>
  </si>
  <si>
    <t xml:space="preserve">Source / note</t>
  </si>
  <si>
    <t xml:space="preserve">Saturday school — 1 child</t>
  </si>
  <si>
    <t xml:space="preserve">per family per session</t>
  </si>
  <si>
    <t xml:space="preserve">£195 per 10 sessions</t>
  </si>
  <si>
    <t xml:space="preserve">Saturday school — 2 siblings</t>
  </si>
  <si>
    <t xml:space="preserve">£345 per 10 sessions</t>
  </si>
  <si>
    <t xml:space="preserve">Saturday school — 3 siblings</t>
  </si>
  <si>
    <t xml:space="preserve">£460 per 10 sessions</t>
  </si>
  <si>
    <t xml:space="preserve">Saturday school — 4 siblings</t>
  </si>
  <si>
    <t xml:space="preserve">£571 per 10 sessions</t>
  </si>
  <si>
    <t xml:space="preserve">Wednesday class — per child</t>
  </si>
  <si>
    <t xml:space="preserve">per child per session</t>
  </si>
  <si>
    <t xml:space="preserve">£160 per 10 sessions; no sibling tier listed</t>
  </si>
  <si>
    <t xml:space="preserve">Registration fee</t>
  </si>
  <si>
    <t xml:space="preserve">per child, one-off at first registration</t>
  </si>
  <si>
    <t xml:space="preserve">Price list says per family for Wednesday — treated per child here (one Wednesday child only)</t>
  </si>
  <si>
    <t xml:space="preserve">Supplies / annual membership</t>
  </si>
  <si>
    <t xml:space="preserve">per child per year</t>
  </si>
  <si>
    <t xml:space="preserve">Price list</t>
  </si>
  <si>
    <t xml:space="preserve">Trial — Saturday, 1 child</t>
  </si>
  <si>
    <t xml:space="preserve">information only, not used in formulas</t>
  </si>
  <si>
    <t xml:space="preserve">£34.50 / £46 / £57 for 2 / 3 / 4 siblings</t>
  </si>
  <si>
    <t xml:space="preserve">Trial — Wednesday</t>
  </si>
  <si>
    <t xml:space="preserve">Invoicing terms — inputs (blue). Add a row per new term; the register for each term goes in Invoices.</t>
  </si>
  <si>
    <t xml:space="preserve">Term ID</t>
  </si>
  <si>
    <t xml:space="preserve">Description</t>
  </si>
  <si>
    <t xml:space="preserve">Saturday sessions</t>
  </si>
  <si>
    <t xml:space="preserve">Wednesday sessions</t>
  </si>
  <si>
    <t xml:space="preserve">Invoice series</t>
  </si>
  <si>
    <t xml:space="preserve">Register loaded?</t>
  </si>
  <si>
    <t xml:space="preserve">Receipts window from</t>
  </si>
  <si>
    <t xml:space="preserve">Receipts window to</t>
  </si>
  <si>
    <t xml:space="preserve">Note</t>
  </si>
  <si>
    <t xml:space="preserve">AUT-2025</t>
  </si>
  <si>
    <t xml:space="preserve">Autumn 2025 (Sep–Dec)</t>
  </si>
  <si>
    <t xml:space="preserve">2025-5xx / 2025-6xx</t>
  </si>
  <si>
    <t xml:space="preserve">No</t>
  </si>
  <si>
    <t xml:space="preserve">Sessions inferred from receipts (£214.50 = 11 × £19.50). Invoice register not supplied — add it to allocate autumn receipts.</t>
  </si>
  <si>
    <t xml:space="preserve">JAN-2026</t>
  </si>
  <si>
    <t xml:space="preserve">Term starting January 2026</t>
  </si>
  <si>
    <t xml:space="preserve">2026-xxx</t>
  </si>
  <si>
    <t xml:space="preserve">Yes</t>
  </si>
  <si>
    <t xml:space="preserve">21 = £409.50 ÷ £19.50. Wednesday 20 = £320 ÷ £16 (single club invoice). Confirm both with the office.</t>
  </si>
  <si>
    <t xml:space="preserve">Families — stable key. One family can have several invoice numbers over time; the family ID never changes.</t>
  </si>
  <si>
    <t xml:space="preserve">Family ID</t>
  </si>
  <si>
    <t xml:space="preserve">Family surname(s)</t>
  </si>
  <si>
    <t xml:space="preserve">Children on roster</t>
  </si>
  <si>
    <t xml:space="preserve">Children billed (JAN-2026)</t>
  </si>
  <si>
    <t xml:space="preserve">Invoice no(s) JAN-2026</t>
  </si>
  <si>
    <t xml:space="preserve">Bank payer alias (fill in; separate with ;)</t>
  </si>
  <si>
    <t xml:space="preserve">Payer names seen with a verified reference (engine)</t>
  </si>
  <si>
    <t xml:space="preserve">FAM-001</t>
  </si>
  <si>
    <t xml:space="preserve">ABARCA</t>
  </si>
  <si>
    <t xml:space="preserve">2026-004</t>
  </si>
  <si>
    <t xml:space="preserve">INGRID ABARCA</t>
  </si>
  <si>
    <t xml:space="preserve">FAM-002</t>
  </si>
  <si>
    <t xml:space="preserve">ACHTERBERG</t>
  </si>
  <si>
    <t xml:space="preserve">2026-052</t>
  </si>
  <si>
    <t xml:space="preserve">FAM-003</t>
  </si>
  <si>
    <t xml:space="preserve">ACHTERBERG-MARCHETTI</t>
  </si>
  <si>
    <t xml:space="preserve">2026-001</t>
  </si>
  <si>
    <t xml:space="preserve">ADRIEN ACHTERBERG-MARCH</t>
  </si>
  <si>
    <t xml:space="preserve">FAM-004</t>
  </si>
  <si>
    <t xml:space="preserve">ASHWORTH</t>
  </si>
  <si>
    <t xml:space="preserve">2026-005</t>
  </si>
  <si>
    <t xml:space="preserve">FAM-005</t>
  </si>
  <si>
    <t xml:space="preserve">AUCLAIR</t>
  </si>
  <si>
    <t xml:space="preserve">2026-054</t>
  </si>
  <si>
    <t xml:space="preserve">DERMOT AUCLAIR</t>
  </si>
  <si>
    <t xml:space="preserve">FAM-006</t>
  </si>
  <si>
    <t xml:space="preserve">BAPTISTE</t>
  </si>
  <si>
    <t xml:space="preserve">2026-006</t>
  </si>
  <si>
    <t xml:space="preserve">INGRID BAPTISTE</t>
  </si>
  <si>
    <t xml:space="preserve">FAM-007</t>
  </si>
  <si>
    <t xml:space="preserve">BEAUCHAMP</t>
  </si>
  <si>
    <t xml:space="preserve">2026-007</t>
  </si>
  <si>
    <t xml:space="preserve">FAM-008</t>
  </si>
  <si>
    <t xml:space="preserve">BELHADJ</t>
  </si>
  <si>
    <t xml:space="preserve">2026-008</t>
  </si>
  <si>
    <t xml:space="preserve">GENEVIEVE BELHADJ</t>
  </si>
  <si>
    <t xml:space="preserve">invoice number shared with another family — 2026-008</t>
  </si>
  <si>
    <t xml:space="preserve">FAM-009</t>
  </si>
  <si>
    <t xml:space="preserve">BELHADJ-TREVELYAN</t>
  </si>
  <si>
    <t xml:space="preserve">2026-002</t>
  </si>
  <si>
    <t xml:space="preserve">FAM-010</t>
  </si>
  <si>
    <t xml:space="preserve">BERGQVIST</t>
  </si>
  <si>
    <t xml:space="preserve">2026-009</t>
  </si>
  <si>
    <t xml:space="preserve">STEFAN BERGQVIST</t>
  </si>
  <si>
    <t xml:space="preserve">FAM-011</t>
  </si>
  <si>
    <t xml:space="preserve">BLOMFIELD</t>
  </si>
  <si>
    <t xml:space="preserve">2026-010</t>
  </si>
  <si>
    <t xml:space="preserve">FAM-012</t>
  </si>
  <si>
    <t xml:space="preserve">BOSANQUET</t>
  </si>
  <si>
    <t xml:space="preserve">2026-053</t>
  </si>
  <si>
    <t xml:space="preserve">STEFAN BOSANQUET</t>
  </si>
  <si>
    <t xml:space="preserve">FAM-013</t>
  </si>
  <si>
    <t xml:space="preserve">BRANNIGAN</t>
  </si>
  <si>
    <t xml:space="preserve">2026-055</t>
  </si>
  <si>
    <t xml:space="preserve">FAM-014</t>
  </si>
  <si>
    <t xml:space="preserve">CARDOSO</t>
  </si>
  <si>
    <t xml:space="preserve">2026-011</t>
  </si>
  <si>
    <t xml:space="preserve">FAM-015</t>
  </si>
  <si>
    <t xml:space="preserve">CASTELLANE</t>
  </si>
  <si>
    <t xml:space="preserve">2026-056</t>
  </si>
  <si>
    <t xml:space="preserve">KATRIN CASTELLANE</t>
  </si>
  <si>
    <t xml:space="preserve">FAM-016</t>
  </si>
  <si>
    <t xml:space="preserve">CHIDOZIE</t>
  </si>
  <si>
    <t xml:space="preserve">FAM-017</t>
  </si>
  <si>
    <t xml:space="preserve">2026-012</t>
  </si>
  <si>
    <t xml:space="preserve">FAM-018</t>
  </si>
  <si>
    <t xml:space="preserve">COMEAU</t>
  </si>
  <si>
    <t xml:space="preserve">2026-013</t>
  </si>
  <si>
    <t xml:space="preserve">ZORA COMEAU</t>
  </si>
  <si>
    <t xml:space="preserve">FAM-019</t>
  </si>
  <si>
    <t xml:space="preserve">DARRIEUSSECQ</t>
  </si>
  <si>
    <t xml:space="preserve">2026-014</t>
  </si>
  <si>
    <t xml:space="preserve">FERGUS DARRIEUSSECQ</t>
  </si>
  <si>
    <t xml:space="preserve">FAM-020</t>
  </si>
  <si>
    <t xml:space="preserve">DELACROIX</t>
  </si>
  <si>
    <t xml:space="preserve">2026-015</t>
  </si>
  <si>
    <t xml:space="preserve">BETTINA DELACROIX</t>
  </si>
  <si>
    <t xml:space="preserve">FAM-021</t>
  </si>
  <si>
    <t xml:space="preserve">DUPLANTIER</t>
  </si>
  <si>
    <t xml:space="preserve">2026-016</t>
  </si>
  <si>
    <t xml:space="preserve">FAM-022</t>
  </si>
  <si>
    <t xml:space="preserve">DZIEDZIC</t>
  </si>
  <si>
    <t xml:space="preserve">2026-057</t>
  </si>
  <si>
    <t xml:space="preserve">NILS DZIEDZIC</t>
  </si>
  <si>
    <t xml:space="preserve">FAM-023</t>
  </si>
  <si>
    <t xml:space="preserve">ERIKSEN</t>
  </si>
  <si>
    <t xml:space="preserve">2026-017</t>
  </si>
  <si>
    <t xml:space="preserve">INGRID ERIKSEN</t>
  </si>
  <si>
    <t xml:space="preserve">FAM-024</t>
  </si>
  <si>
    <t xml:space="preserve">FALZON</t>
  </si>
  <si>
    <t xml:space="preserve">2026-018</t>
  </si>
  <si>
    <t xml:space="preserve">VERA FALZON</t>
  </si>
  <si>
    <t xml:space="preserve">FAM-025</t>
  </si>
  <si>
    <t xml:space="preserve">FERREIRO</t>
  </si>
  <si>
    <t xml:space="preserve">2026-058</t>
  </si>
  <si>
    <t xml:space="preserve">FAM-026</t>
  </si>
  <si>
    <t xml:space="preserve">FITZHUGH</t>
  </si>
  <si>
    <t xml:space="preserve">2026-019</t>
  </si>
  <si>
    <t xml:space="preserve">TOVE FITZHUGH</t>
  </si>
  <si>
    <t xml:space="preserve">FAM-027</t>
  </si>
  <si>
    <t xml:space="preserve">GAILLARD</t>
  </si>
  <si>
    <t xml:space="preserve">2026-020</t>
  </si>
  <si>
    <t xml:space="preserve">FAM-028</t>
  </si>
  <si>
    <t xml:space="preserve">GRIMALDSEN</t>
  </si>
  <si>
    <t xml:space="preserve">2026-059</t>
  </si>
  <si>
    <t xml:space="preserve">FAM-029</t>
  </si>
  <si>
    <t xml:space="preserve">GRYNBERG</t>
  </si>
  <si>
    <t xml:space="preserve">2026-021</t>
  </si>
  <si>
    <t xml:space="preserve">FAM-030</t>
  </si>
  <si>
    <t xml:space="preserve">HALVORSEN</t>
  </si>
  <si>
    <t xml:space="preserve">2026-022</t>
  </si>
  <si>
    <t xml:space="preserve">PASCAL HALVORSEN</t>
  </si>
  <si>
    <t xml:space="preserve">FAM-031</t>
  </si>
  <si>
    <t xml:space="preserve">HASANOVIC</t>
  </si>
  <si>
    <t xml:space="preserve">2026-060</t>
  </si>
  <si>
    <t xml:space="preserve">FAM-032</t>
  </si>
  <si>
    <t xml:space="preserve">HOLLINGWORTH</t>
  </si>
  <si>
    <t xml:space="preserve">2026-023</t>
  </si>
  <si>
    <t xml:space="preserve">FAM-033</t>
  </si>
  <si>
    <t xml:space="preserve">IBARRA</t>
  </si>
  <si>
    <t xml:space="preserve">2026-024</t>
  </si>
  <si>
    <t xml:space="preserve">PASCAL IBARRA</t>
  </si>
  <si>
    <t xml:space="preserve">FAM-034</t>
  </si>
  <si>
    <t xml:space="preserve">JANKOWSKI</t>
  </si>
  <si>
    <t xml:space="preserve">2026-025</t>
  </si>
  <si>
    <t xml:space="preserve">JEROME JANKOWSKI</t>
  </si>
  <si>
    <t xml:space="preserve">FAM-035</t>
  </si>
  <si>
    <t xml:space="preserve">KACZMAREK</t>
  </si>
  <si>
    <t xml:space="preserve">2026-026</t>
  </si>
  <si>
    <t xml:space="preserve">ELODIE KACZMAREK</t>
  </si>
  <si>
    <t xml:space="preserve">FAM-036</t>
  </si>
  <si>
    <t xml:space="preserve">KILBRIDE</t>
  </si>
  <si>
    <t xml:space="preserve">2026-027</t>
  </si>
  <si>
    <t xml:space="preserve">GENEVIEVE KILBRIDE</t>
  </si>
  <si>
    <t xml:space="preserve">FAM-037</t>
  </si>
  <si>
    <t xml:space="preserve">LACHAPELLE</t>
  </si>
  <si>
    <t xml:space="preserve">2026-028</t>
  </si>
  <si>
    <t xml:space="preserve">CAMILLE LACHAPELLE</t>
  </si>
  <si>
    <t xml:space="preserve">FAM-038</t>
  </si>
  <si>
    <t xml:space="preserve">LINDQVIST</t>
  </si>
  <si>
    <t xml:space="preserve">2026-029</t>
  </si>
  <si>
    <t xml:space="preserve">FAM-039</t>
  </si>
  <si>
    <t xml:space="preserve">MAALOUF</t>
  </si>
  <si>
    <t xml:space="preserve">2026-030</t>
  </si>
  <si>
    <t xml:space="preserve">GENEVIEVE MAALOUF</t>
  </si>
  <si>
    <t xml:space="preserve">FAM-040</t>
  </si>
  <si>
    <t xml:space="preserve">MARCHETTI</t>
  </si>
  <si>
    <t xml:space="preserve">2026-031</t>
  </si>
  <si>
    <t xml:space="preserve">ZORA MARCHETTI</t>
  </si>
  <si>
    <t xml:space="preserve">FAM-041</t>
  </si>
  <si>
    <t xml:space="preserve">NAKASHIMA</t>
  </si>
  <si>
    <t xml:space="preserve">2026-032</t>
  </si>
  <si>
    <t xml:space="preserve">KATRIN NAKASHIMA</t>
  </si>
  <si>
    <t xml:space="preserve">FAM-042</t>
  </si>
  <si>
    <t xml:space="preserve">NAKASHIMA-PELLETIER</t>
  </si>
  <si>
    <t xml:space="preserve">2026-003</t>
  </si>
  <si>
    <t xml:space="preserve">FAM-043</t>
  </si>
  <si>
    <t xml:space="preserve">NWACHUKWU</t>
  </si>
  <si>
    <t xml:space="preserve">2026-033</t>
  </si>
  <si>
    <t xml:space="preserve">FAM-044</t>
  </si>
  <si>
    <t xml:space="preserve">OKONKWO</t>
  </si>
  <si>
    <t xml:space="preserve">2026-034</t>
  </si>
  <si>
    <t xml:space="preserve">FAM-045</t>
  </si>
  <si>
    <t xml:space="preserve">PELLETIER</t>
  </si>
  <si>
    <t xml:space="preserve">FAM-046</t>
  </si>
  <si>
    <t xml:space="preserve">PERREAULT</t>
  </si>
  <si>
    <t xml:space="preserve">2026-036</t>
  </si>
  <si>
    <t xml:space="preserve">FAM-047</t>
  </si>
  <si>
    <t xml:space="preserve">QUILLIAM</t>
  </si>
  <si>
    <t xml:space="preserve">2026-037</t>
  </si>
  <si>
    <t xml:space="preserve">FAM-048</t>
  </si>
  <si>
    <t xml:space="preserve">RASMUSSEN</t>
  </si>
  <si>
    <t xml:space="preserve">2026-038</t>
  </si>
  <si>
    <t xml:space="preserve">FAM-049</t>
  </si>
  <si>
    <t xml:space="preserve">ROCHETEAU</t>
  </si>
  <si>
    <t xml:space="preserve">2026-039</t>
  </si>
  <si>
    <t xml:space="preserve">FAM-050</t>
  </si>
  <si>
    <t xml:space="preserve">SANDOVAL</t>
  </si>
  <si>
    <t xml:space="preserve">2026-040</t>
  </si>
  <si>
    <t xml:space="preserve">HUGO SANDOVAL</t>
  </si>
  <si>
    <t xml:space="preserve">FAM-051</t>
  </si>
  <si>
    <t xml:space="preserve">SIGURDSSON</t>
  </si>
  <si>
    <t xml:space="preserve">2026-041</t>
  </si>
  <si>
    <t xml:space="preserve">CAMILLE SIGURDSSON</t>
  </si>
  <si>
    <t xml:space="preserve">FAM-052</t>
  </si>
  <si>
    <t xml:space="preserve">THIBODEAUX</t>
  </si>
  <si>
    <t xml:space="preserve">2026-042</t>
  </si>
  <si>
    <t xml:space="preserve">FAM-053</t>
  </si>
  <si>
    <t xml:space="preserve">TREVELYAN</t>
  </si>
  <si>
    <t xml:space="preserve">2026-043</t>
  </si>
  <si>
    <t xml:space="preserve">FAM-054</t>
  </si>
  <si>
    <t xml:space="preserve">UCHENDU</t>
  </si>
  <si>
    <t xml:space="preserve">2026-044</t>
  </si>
  <si>
    <t xml:space="preserve">GENEVIEVE UCHENDU</t>
  </si>
  <si>
    <t xml:space="preserve">FAM-055</t>
  </si>
  <si>
    <t xml:space="preserve">VANTERPOOL</t>
  </si>
  <si>
    <t xml:space="preserve">2026-045</t>
  </si>
  <si>
    <t xml:space="preserve">FAM-056</t>
  </si>
  <si>
    <t xml:space="preserve">VILLALOBOS</t>
  </si>
  <si>
    <t xml:space="preserve">2026-046</t>
  </si>
  <si>
    <t xml:space="preserve">FAM-057</t>
  </si>
  <si>
    <t xml:space="preserve">WENDELIN</t>
  </si>
  <si>
    <t xml:space="preserve">2026-047</t>
  </si>
  <si>
    <t xml:space="preserve">MARGIT WENDELIN</t>
  </si>
  <si>
    <t xml:space="preserve">FAM-058</t>
  </si>
  <si>
    <t xml:space="preserve">WOJCIECHOWSKI</t>
  </si>
  <si>
    <t xml:space="preserve">2026-048</t>
  </si>
  <si>
    <t xml:space="preserve">FAM-059</t>
  </si>
  <si>
    <t xml:space="preserve">YANKOVIC</t>
  </si>
  <si>
    <t xml:space="preserve">2026-049</t>
  </si>
  <si>
    <t xml:space="preserve">FAM-060</t>
  </si>
  <si>
    <t xml:space="preserve">ZABALA</t>
  </si>
  <si>
    <t xml:space="preserve">2026-050</t>
  </si>
  <si>
    <t xml:space="preserve">NILS ZABALA</t>
  </si>
  <si>
    <t xml:space="preserve">FAM-061</t>
  </si>
  <si>
    <t xml:space="preserve">ZIMMERLI</t>
  </si>
  <si>
    <t xml:space="preserve">2026-051</t>
  </si>
  <si>
    <t xml:space="preserve">Children — facts per child (blue) drive the expected fee (black). 'Check' must be OK; anything else is an invoice that does not follow the rules.</t>
  </si>
  <si>
    <t xml:space="preserve">Child ID</t>
  </si>
  <si>
    <t xml:space="preserve">Surname</t>
  </si>
  <si>
    <t xml:space="preserve">First name</t>
  </si>
  <si>
    <t xml:space="preserve">Class</t>
  </si>
  <si>
    <t xml:space="preserve">Status</t>
  </si>
  <si>
    <t xml:space="preserve">Term</t>
  </si>
  <si>
    <t xml:space="preserve">Invoice no (roster)</t>
  </si>
  <si>
    <t xml:space="preserve">Sessions</t>
  </si>
  <si>
    <t xml:space="preserve">Sessions override</t>
  </si>
  <si>
    <t xml:space="preserve">Siblings billed</t>
  </si>
  <si>
    <t xml:space="preserve">Rate per session</t>
  </si>
  <si>
    <t xml:space="preserve">Tuition</t>
  </si>
  <si>
    <t xml:space="preserve">Discount</t>
  </si>
  <si>
    <t xml:space="preserve">Add-ons charged</t>
  </si>
  <si>
    <t xml:space="preserve">Reg fee</t>
  </si>
  <si>
    <t xml:space="preserve">Supplies</t>
  </si>
  <si>
    <t xml:space="preserve">Expected total</t>
  </si>
  <si>
    <t xml:space="preserve">Invoiced on roster</t>
  </si>
  <si>
    <t xml:space="preserve">Difference</t>
  </si>
  <si>
    <t xml:space="preserve">Check</t>
  </si>
  <si>
    <t xml:space="preserve">CH-001</t>
  </si>
  <si>
    <t xml:space="preserve">Lorcan</t>
  </si>
  <si>
    <t xml:space="preserve">Saturday</t>
  </si>
  <si>
    <t xml:space="preserve">Enrolled</t>
  </si>
  <si>
    <t xml:space="preserve">roster PAID: paid</t>
  </si>
  <si>
    <t xml:space="preserve">CH-002</t>
  </si>
  <si>
    <t xml:space="preserve">Eleni</t>
  </si>
  <si>
    <t xml:space="preserve">supplies</t>
  </si>
  <si>
    <t xml:space="preserve">CH-003</t>
  </si>
  <si>
    <t xml:space="preserve">Leocadie</t>
  </si>
  <si>
    <t xml:space="preserve">CH-004</t>
  </si>
  <si>
    <t xml:space="preserve">Maelys</t>
  </si>
  <si>
    <t xml:space="preserve">CH-005</t>
  </si>
  <si>
    <t xml:space="preserve">Halima</t>
  </si>
  <si>
    <t xml:space="preserve">CH-006</t>
  </si>
  <si>
    <t xml:space="preserve">Xanthe</t>
  </si>
  <si>
    <t xml:space="preserve">2026-054a</t>
  </si>
  <si>
    <t xml:space="preserve">CH-007</t>
  </si>
  <si>
    <t xml:space="preserve">Kaia</t>
  </si>
  <si>
    <t xml:space="preserve">CH-008</t>
  </si>
  <si>
    <t xml:space="preserve">Piero</t>
  </si>
  <si>
    <t xml:space="preserve">2026-006a</t>
  </si>
  <si>
    <t xml:space="preserve">CH-009</t>
  </si>
  <si>
    <t xml:space="preserve">Anselm</t>
  </si>
  <si>
    <t xml:space="preserve">roster PAID: part paid</t>
  </si>
  <si>
    <t xml:space="preserve">CH-010</t>
  </si>
  <si>
    <t xml:space="preserve">Celestine</t>
  </si>
  <si>
    <t xml:space="preserve">CH-011</t>
  </si>
  <si>
    <t xml:space="preserve">Gaspard</t>
  </si>
  <si>
    <t xml:space="preserve">2026-008a</t>
  </si>
  <si>
    <t xml:space="preserve">CH-012</t>
  </si>
  <si>
    <t xml:space="preserve">Beatriz</t>
  </si>
  <si>
    <t xml:space="preserve">CH-013</t>
  </si>
  <si>
    <t xml:space="preserve">Rune</t>
  </si>
  <si>
    <t xml:space="preserve">CH-014</t>
  </si>
  <si>
    <t xml:space="preserve">Tamsin</t>
  </si>
  <si>
    <t xml:space="preserve">2026-009a</t>
  </si>
  <si>
    <t xml:space="preserve">CH-015</t>
  </si>
  <si>
    <t xml:space="preserve">Solveig</t>
  </si>
  <si>
    <t xml:space="preserve">CH-016</t>
  </si>
  <si>
    <t xml:space="preserve">Hektor</t>
  </si>
  <si>
    <t xml:space="preserve">2026-053a</t>
  </si>
  <si>
    <t xml:space="preserve">CH-017</t>
  </si>
  <si>
    <t xml:space="preserve">CH-018</t>
  </si>
  <si>
    <t xml:space="preserve">Dario</t>
  </si>
  <si>
    <t xml:space="preserve">CH-019</t>
  </si>
  <si>
    <t xml:space="preserve">Giulia</t>
  </si>
  <si>
    <t xml:space="preserve">CH-020</t>
  </si>
  <si>
    <t xml:space="preserve">Juniper</t>
  </si>
  <si>
    <t xml:space="preserve">2026-055a</t>
  </si>
  <si>
    <t xml:space="preserve">reg, supplies</t>
  </si>
  <si>
    <t xml:space="preserve">CH-021</t>
  </si>
  <si>
    <t xml:space="preserve">Ndidi</t>
  </si>
  <si>
    <t xml:space="preserve">CH-022</t>
  </si>
  <si>
    <t xml:space="preserve">Caspian</t>
  </si>
  <si>
    <t xml:space="preserve">CH-023</t>
  </si>
  <si>
    <t xml:space="preserve">2026-011a</t>
  </si>
  <si>
    <t xml:space="preserve">CH-024</t>
  </si>
  <si>
    <t xml:space="preserve">CH-025</t>
  </si>
  <si>
    <t xml:space="preserve">Quentin</t>
  </si>
  <si>
    <t xml:space="preserve">2026-056a</t>
  </si>
  <si>
    <t xml:space="preserve">CH-026</t>
  </si>
  <si>
    <t xml:space="preserve">Zephyr</t>
  </si>
  <si>
    <t xml:space="preserve">CH-027</t>
  </si>
  <si>
    <t xml:space="preserve">Amara</t>
  </si>
  <si>
    <t xml:space="preserve">Not invoiced</t>
  </si>
  <si>
    <t xml:space="preserve">CH-028</t>
  </si>
  <si>
    <t xml:space="preserve">Delphine</t>
  </si>
  <si>
    <t xml:space="preserve">CH-029</t>
  </si>
  <si>
    <t xml:space="preserve">2026-012a</t>
  </si>
  <si>
    <t xml:space="preserve">CH-030</t>
  </si>
  <si>
    <t xml:space="preserve">Olamide</t>
  </si>
  <si>
    <t xml:space="preserve">CH-031</t>
  </si>
  <si>
    <t xml:space="preserve">Valentin</t>
  </si>
  <si>
    <t xml:space="preserve">CH-032</t>
  </si>
  <si>
    <t xml:space="preserve">Fabienne</t>
  </si>
  <si>
    <t xml:space="preserve">CH-033</t>
  </si>
  <si>
    <t xml:space="preserve">Matteo</t>
  </si>
  <si>
    <t xml:space="preserve">CH-034</t>
  </si>
  <si>
    <t xml:space="preserve">Yusuf</t>
  </si>
  <si>
    <t xml:space="preserve">2026-015a</t>
  </si>
  <si>
    <t xml:space="preserve">CH-035</t>
  </si>
  <si>
    <t xml:space="preserve">CH-036</t>
  </si>
  <si>
    <t xml:space="preserve">CH-037</t>
  </si>
  <si>
    <t xml:space="preserve">CH-038</t>
  </si>
  <si>
    <t xml:space="preserve">Jomo</t>
  </si>
  <si>
    <t xml:space="preserve">reg</t>
  </si>
  <si>
    <t xml:space="preserve">CH-039</t>
  </si>
  <si>
    <t xml:space="preserve">CH-040</t>
  </si>
  <si>
    <t xml:space="preserve">Emeka</t>
  </si>
  <si>
    <t xml:space="preserve">CH-041</t>
  </si>
  <si>
    <t xml:space="preserve">Esben</t>
  </si>
  <si>
    <t xml:space="preserve">CH-042</t>
  </si>
  <si>
    <t xml:space="preserve">2026-059a</t>
  </si>
  <si>
    <t xml:space="preserve">CH-043</t>
  </si>
  <si>
    <t xml:space="preserve">CH-044</t>
  </si>
  <si>
    <t xml:space="preserve">CH-045</t>
  </si>
  <si>
    <t xml:space="preserve">Rafaela</t>
  </si>
  <si>
    <t xml:space="preserve">CH-046</t>
  </si>
  <si>
    <t xml:space="preserve">Bijou</t>
  </si>
  <si>
    <t xml:space="preserve">2026-022a</t>
  </si>
  <si>
    <t xml:space="preserve">CH-047</t>
  </si>
  <si>
    <t xml:space="preserve">Cato</t>
  </si>
  <si>
    <t xml:space="preserve">CH-048</t>
  </si>
  <si>
    <t xml:space="preserve">Ezra</t>
  </si>
  <si>
    <t xml:space="preserve">CH-049</t>
  </si>
  <si>
    <t xml:space="preserve">CH-050</t>
  </si>
  <si>
    <t xml:space="preserve">CH-051</t>
  </si>
  <si>
    <t xml:space="preserve">Otto</t>
  </si>
  <si>
    <t xml:space="preserve">CH-052</t>
  </si>
  <si>
    <t xml:space="preserve">Wren</t>
  </si>
  <si>
    <t xml:space="preserve">CH-053</t>
  </si>
  <si>
    <t xml:space="preserve">Ingvar</t>
  </si>
  <si>
    <t xml:space="preserve">CH-054</t>
  </si>
  <si>
    <t xml:space="preserve">CH-055</t>
  </si>
  <si>
    <t xml:space="preserve">Nadia</t>
  </si>
  <si>
    <t xml:space="preserve">2026-026a</t>
  </si>
  <si>
    <t xml:space="preserve">CH-056</t>
  </si>
  <si>
    <t xml:space="preserve">Thibault</t>
  </si>
  <si>
    <t xml:space="preserve">CH-057</t>
  </si>
  <si>
    <t xml:space="preserve">CH-058</t>
  </si>
  <si>
    <t xml:space="preserve">2026-027a</t>
  </si>
  <si>
    <t xml:space="preserve">CH-059</t>
  </si>
  <si>
    <t xml:space="preserve">Zosia</t>
  </si>
  <si>
    <t xml:space="preserve">CH-060</t>
  </si>
  <si>
    <t xml:space="preserve">Fionn</t>
  </si>
  <si>
    <t xml:space="preserve">CH-061</t>
  </si>
  <si>
    <t xml:space="preserve">Sable</t>
  </si>
  <si>
    <t xml:space="preserve">2026-028a</t>
  </si>
  <si>
    <t xml:space="preserve">CH-062</t>
  </si>
  <si>
    <t xml:space="preserve">2026-029a</t>
  </si>
  <si>
    <t xml:space="preserve">CH-063</t>
  </si>
  <si>
    <t xml:space="preserve">Uma</t>
  </si>
  <si>
    <t xml:space="preserve">CH-064</t>
  </si>
  <si>
    <t xml:space="preserve">Bastien</t>
  </si>
  <si>
    <t xml:space="preserve">2026-030a</t>
  </si>
  <si>
    <t xml:space="preserve">CH-065</t>
  </si>
  <si>
    <t xml:space="preserve">Kwame</t>
  </si>
  <si>
    <t xml:space="preserve">CH-066</t>
  </si>
  <si>
    <t xml:space="preserve">CH-067</t>
  </si>
  <si>
    <t xml:space="preserve">CH-068</t>
  </si>
  <si>
    <t xml:space="preserve">Anouk</t>
  </si>
  <si>
    <t xml:space="preserve">2026-003a</t>
  </si>
  <si>
    <t xml:space="preserve">CH-069</t>
  </si>
  <si>
    <t xml:space="preserve">Ilaria</t>
  </si>
  <si>
    <t xml:space="preserve">CH-070</t>
  </si>
  <si>
    <t xml:space="preserve">CH-071</t>
  </si>
  <si>
    <t xml:space="preserve">CH-072</t>
  </si>
  <si>
    <t xml:space="preserve">CH-073</t>
  </si>
  <si>
    <t xml:space="preserve">CH-074</t>
  </si>
  <si>
    <t xml:space="preserve">2026-036a</t>
  </si>
  <si>
    <t xml:space="preserve">CH-075</t>
  </si>
  <si>
    <t xml:space="preserve">CH-076</t>
  </si>
  <si>
    <t xml:space="preserve">2026-037a</t>
  </si>
  <si>
    <t xml:space="preserve">CH-077</t>
  </si>
  <si>
    <t xml:space="preserve">CH-078</t>
  </si>
  <si>
    <t xml:space="preserve">CH-079</t>
  </si>
  <si>
    <t xml:space="preserve">2026-040a</t>
  </si>
  <si>
    <t xml:space="preserve">CH-080</t>
  </si>
  <si>
    <t xml:space="preserve">CH-081</t>
  </si>
  <si>
    <t xml:space="preserve">2026-041a</t>
  </si>
  <si>
    <t xml:space="preserve">CH-082</t>
  </si>
  <si>
    <t xml:space="preserve">CH-083</t>
  </si>
  <si>
    <t xml:space="preserve">CH-084</t>
  </si>
  <si>
    <t xml:space="preserve">2026-043a</t>
  </si>
  <si>
    <t xml:space="preserve">CH-085</t>
  </si>
  <si>
    <t xml:space="preserve">CH-086</t>
  </si>
  <si>
    <t xml:space="preserve">CH-087</t>
  </si>
  <si>
    <t xml:space="preserve">CH-088</t>
  </si>
  <si>
    <t xml:space="preserve">CH-089</t>
  </si>
  <si>
    <t xml:space="preserve">CH-090</t>
  </si>
  <si>
    <t xml:space="preserve">CH-091</t>
  </si>
  <si>
    <t xml:space="preserve">CH-092</t>
  </si>
  <si>
    <t xml:space="preserve">2026-050a</t>
  </si>
  <si>
    <t xml:space="preserve">CH-093</t>
  </si>
  <si>
    <t xml:space="preserve">CH-094</t>
  </si>
  <si>
    <t xml:space="preserve">Receipts — one row per bank line. Blue = from the bank file. Yellow = your decision. Everything else is written by the engine.</t>
  </si>
  <si>
    <t xml:space="preserve">Date</t>
  </si>
  <si>
    <t xml:space="preserve">Amount</t>
  </si>
  <si>
    <t xml:space="preserve">Payer (bank)</t>
  </si>
  <si>
    <t xml:space="preserve">Reference (bank)</t>
  </si>
  <si>
    <t xml:space="preserve">Family override (fill in)</t>
  </si>
  <si>
    <t xml:space="preserve">Family</t>
  </si>
  <si>
    <t xml:space="preserve">Allocated</t>
  </si>
  <si>
    <t xml:space="preserve">Tier</t>
  </si>
  <si>
    <t xml:space="preserve">Candidates</t>
  </si>
  <si>
    <t xml:space="preserve">Why</t>
  </si>
  <si>
    <t xml:space="preserve">Amount check</t>
  </si>
  <si>
    <t xml:space="preserve">Flags</t>
  </si>
  <si>
    <t xml:space="preserve">Full memo</t>
  </si>
  <si>
    <t xml:space="preserve">ZORA VANTERPOOL</t>
  </si>
  <si>
    <t xml:space="preserve">B</t>
  </si>
  <si>
    <t xml:space="preserve">surname VANTERPOOL</t>
  </si>
  <si>
    <t xml:space="preserve">matches expected; JAN-2026 amount</t>
  </si>
  <si>
    <t xml:space="preserve">ZORA VANTERPOOL        	Halima	BGC	</t>
  </si>
  <si>
    <t xml:space="preserve">2026018</t>
  </si>
  <si>
    <t xml:space="preserve">A</t>
  </si>
  <si>
    <t xml:space="preserve">invoice reference 2026-018</t>
  </si>
  <si>
    <t xml:space="preserve">VERA FALZON            	2026018	BGC	</t>
  </si>
  <si>
    <t xml:space="preserve">MARGIT RASMUSSEN</t>
  </si>
  <si>
    <t xml:space="preserve">X</t>
  </si>
  <si>
    <t xml:space="preserve">FAM-048, FAM-049</t>
  </si>
  <si>
    <t xml:space="preserve">reference 2026-039 points to FAM-049 but the memo names FAM-048 — parent may have typed the wrong invoice number</t>
  </si>
  <si>
    <t xml:space="preserve">MARGIT RASMUSSEN       	2026-039	BGC	</t>
  </si>
  <si>
    <t xml:space="preserve">ERIKSE2026-017</t>
  </si>
  <si>
    <t xml:space="preserve">invoice reference 2026-017</t>
  </si>
  <si>
    <t xml:space="preserve">half of expected</t>
  </si>
  <si>
    <t xml:space="preserve">INGRID ERIKSEN         	ERIKSE2026-017	BGC	</t>
  </si>
  <si>
    <t xml:space="preserve">invoice reference 2026-008</t>
  </si>
  <si>
    <t xml:space="preserve">unusual (expected £774.50)</t>
  </si>
  <si>
    <t xml:space="preserve">GENEVIEVE BELHADJ      	2026-008	BGC	</t>
  </si>
  <si>
    <t xml:space="preserve">MARGIT GAILLARD</t>
  </si>
  <si>
    <t xml:space="preserve">child first name Esben, surname GAILLARD</t>
  </si>
  <si>
    <t xml:space="preserve">MARGIT GAILLARD        	Esben	BGC	</t>
  </si>
  <si>
    <t xml:space="preserve">LUDOVIC ASHWORTH</t>
  </si>
  <si>
    <t xml:space="preserve">ASHWORTH FRENCH SCHOO</t>
  </si>
  <si>
    <t xml:space="preserve">surname ASHWORTH</t>
  </si>
  <si>
    <t xml:space="preserve">LUDOVIC ASHWORTH       	ASHWORTH FRENCH SCHOO	BGC	</t>
  </si>
  <si>
    <t xml:space="preserve">KATRIN DUPLANTIER</t>
  </si>
  <si>
    <t xml:space="preserve">2025-608</t>
  </si>
  <si>
    <t xml:space="preserve">surname DUPLANTIER (prior-term reference 2025-608 — family identified, invoice not loaded)</t>
  </si>
  <si>
    <t xml:space="preserve">JAN-2026 amount</t>
  </si>
  <si>
    <t xml:space="preserve">KATRIN DUPLANTIER      	2025-608	BGC	</t>
  </si>
  <si>
    <t xml:space="preserve">MAALOU2026-030</t>
  </si>
  <si>
    <t xml:space="preserve">invoice reference 2026-030</t>
  </si>
  <si>
    <t xml:space="preserve">GENEVIEVE MAALOUF      	MAALOU2026-030	BGC	</t>
  </si>
  <si>
    <t xml:space="preserve">ELODIE HASANOVIC</t>
  </si>
  <si>
    <t xml:space="preserve">060</t>
  </si>
  <si>
    <t xml:space="preserve">surname HASANOVIC</t>
  </si>
  <si>
    <t xml:space="preserve">ELODIE HASANOVIC       	060	BGC	</t>
  </si>
  <si>
    <t xml:space="preserve">2026041</t>
  </si>
  <si>
    <t xml:space="preserve">invoice reference 2026-041</t>
  </si>
  <si>
    <t xml:space="preserve">CAMILLE SIGURDSSON     	2026041	BGC	</t>
  </si>
  <si>
    <t xml:space="preserve">invoice reference 2026-015</t>
  </si>
  <si>
    <t xml:space="preserve">BETTINA DELACROIX      	2026-015	BGC	</t>
  </si>
  <si>
    <t xml:space="preserve">NILS OKONKWO</t>
  </si>
  <si>
    <t xml:space="preserve">2025-508</t>
  </si>
  <si>
    <t xml:space="preserve">surname OKONKWO (prior-term reference 2025-508 — family identified, invoice not loaded)</t>
  </si>
  <si>
    <t xml:space="preserve">NILS OKONKWO           	2025-508	BGC	</t>
  </si>
  <si>
    <t xml:space="preserve">2026057</t>
  </si>
  <si>
    <t xml:space="preserve">invoice reference 2026-057</t>
  </si>
  <si>
    <t xml:space="preserve">NILS DZIEDZIC          	2026057	BGC	</t>
  </si>
  <si>
    <t xml:space="preserve">2025-611</t>
  </si>
  <si>
    <t xml:space="preserve">payer name previously seen with a verified reference for this family (prior-term reference 2025-611 — family identified, invoice not loaded)</t>
  </si>
  <si>
    <t xml:space="preserve">GENEVIEVE KILBRIDE     	2025-611	BGC	</t>
  </si>
  <si>
    <t xml:space="preserve">Rasmussen</t>
  </si>
  <si>
    <t xml:space="preserve">surname RASMUSSEN</t>
  </si>
  <si>
    <t xml:space="preserve">MARGIT RASMUSSEN       	Rasmussen	BGC	</t>
  </si>
  <si>
    <t xml:space="preserve">BETTINA VILLALOBOS</t>
  </si>
  <si>
    <t xml:space="preserve">2025-578</t>
  </si>
  <si>
    <t xml:space="preserve">surname VILLALOBOS (prior-term reference 2025-578 — family identified, invoice not loaded)</t>
  </si>
  <si>
    <t xml:space="preserve">BETTINA VILLALOBOS     	2025-578	BGC	</t>
  </si>
  <si>
    <t xml:space="preserve">Eriksen 2nd</t>
  </si>
  <si>
    <t xml:space="preserve">payer name previously seen with a verified reference for this family</t>
  </si>
  <si>
    <t xml:space="preserve">INGRID ERIKSEN         	Eriksen 2nd	BGC	</t>
  </si>
  <si>
    <t xml:space="preserve">invoice reference 2026-032</t>
  </si>
  <si>
    <t xml:space="preserve">KATRIN NAKASHIMA       	2026-032	BGC	</t>
  </si>
  <si>
    <t xml:space="preserve">2nd payment</t>
  </si>
  <si>
    <t xml:space="preserve">GENEVIEVE MAALOUF      	2nd payment	BGC	</t>
  </si>
  <si>
    <t xml:space="preserve">surname DUPLANTIER</t>
  </si>
  <si>
    <t xml:space="preserve">half of expected; JAN-2026 amount</t>
  </si>
  <si>
    <t xml:space="preserve">KATRIN DUPLANTIER      	2nd payment	BGC	</t>
  </si>
  <si>
    <t xml:space="preserve">TOVE YANKOVIC</t>
  </si>
  <si>
    <t xml:space="preserve">Yankovic</t>
  </si>
  <si>
    <t xml:space="preserve">surname YANKOVIC</t>
  </si>
  <si>
    <t xml:space="preserve">TOVE YANKOVIC          	Yankovic	BGC	</t>
  </si>
  <si>
    <t xml:space="preserve">BERGQV2026-009</t>
  </si>
  <si>
    <t xml:space="preserve">invoice reference 2026-009</t>
  </si>
  <si>
    <t xml:space="preserve">matches expected</t>
  </si>
  <si>
    <t xml:space="preserve">STEFAN BERGQVIST       	BERGQV2026-009	BGC	</t>
  </si>
  <si>
    <t xml:space="preserve">ROSALIND NAKASHIMA-PELL</t>
  </si>
  <si>
    <t xml:space="preserve">2025-641</t>
  </si>
  <si>
    <t xml:space="preserve">'PELL' starts PELLETIER, surname NAKASHIMA (prior-term reference 2025-641 — family identified, invoice not loaded)</t>
  </si>
  <si>
    <t xml:space="preserve">ROSALIND NAKASHIMA-PELL	2025-641	BGC	</t>
  </si>
  <si>
    <t xml:space="preserve">MARGIT NWACHUKWU</t>
  </si>
  <si>
    <t xml:space="preserve">surname NWACHUKWU</t>
  </si>
  <si>
    <t xml:space="preserve">MARGIT NWACHUKWU       	Giulia	BGC	</t>
  </si>
  <si>
    <t xml:space="preserve">KATRIN BEAUCHAMP</t>
  </si>
  <si>
    <t xml:space="preserve">D</t>
  </si>
  <si>
    <t xml:space="preserve">FAM-008, FAM-045</t>
  </si>
  <si>
    <t xml:space="preserve">reference 2026-008 is shared by FAM-008, FAM-045</t>
  </si>
  <si>
    <t xml:space="preserve">KATRIN BEAUCHAMP       	2026-008	BGC	</t>
  </si>
  <si>
    <t xml:space="preserve">ULRICH QUILLIAM</t>
  </si>
  <si>
    <t xml:space="preserve">school fees</t>
  </si>
  <si>
    <t xml:space="preserve">surname QUILLIAM</t>
  </si>
  <si>
    <t xml:space="preserve">ULRICH QUILLIAM        	school fees	BGC	</t>
  </si>
  <si>
    <t xml:space="preserve">LUDOVIC THIBODEAUX</t>
  </si>
  <si>
    <t xml:space="preserve">Thibodeaux fees</t>
  </si>
  <si>
    <t xml:space="preserve">surname THIBODEAUX</t>
  </si>
  <si>
    <t xml:space="preserve">LUDOVIC THIBODEAUX     	Thibodeaux fees	BGC	</t>
  </si>
  <si>
    <t xml:space="preserve">ULRICH TREVELYAN</t>
  </si>
  <si>
    <t xml:space="preserve">Trevelyan</t>
  </si>
  <si>
    <t xml:space="preserve">FAM-009, FAM-053</t>
  </si>
  <si>
    <t xml:space="preserve">several families fit: FAM-009 (surname TREVELYAN); FAM-053 (surname TREVELYAN)</t>
  </si>
  <si>
    <t xml:space="preserve">ULRICH TREVELYAN       	Trevelyan	BGC	</t>
  </si>
  <si>
    <t xml:space="preserve">HALVOR2026-022</t>
  </si>
  <si>
    <t xml:space="preserve">invoice reference 2026-022</t>
  </si>
  <si>
    <t xml:space="preserve">PASCAL HALVORSEN       	HALVOR2026-022	BGC	</t>
  </si>
  <si>
    <t xml:space="preserve">PASCAL GRIMALDSEN</t>
  </si>
  <si>
    <t xml:space="preserve">Grimaldsen fees</t>
  </si>
  <si>
    <t xml:space="preserve">surname GRIMALDSEN</t>
  </si>
  <si>
    <t xml:space="preserve">PASCAL GRIMALDSEN      	Grimaldsen fees	BGC	</t>
  </si>
  <si>
    <t xml:space="preserve">invoice reference 2026-019</t>
  </si>
  <si>
    <t xml:space="preserve">TOVE FITZHUGH          	2026-019	BGC	</t>
  </si>
  <si>
    <t xml:space="preserve">GENEVIEVE HOLLINGWORTH</t>
  </si>
  <si>
    <t xml:space="preserve">FAM-032, FAM-033</t>
  </si>
  <si>
    <t xml:space="preserve">reference 2026-024 points to FAM-033 but the memo names FAM-032 — parent may have typed the wrong invoice number</t>
  </si>
  <si>
    <t xml:space="preserve">GENEVIEVE HOLLINGWORTH 	2026-024	BGC	</t>
  </si>
  <si>
    <t xml:space="preserve">HUGO WOJCIECHOWSKI</t>
  </si>
  <si>
    <t xml:space="preserve">048</t>
  </si>
  <si>
    <t xml:space="preserve">surname WOJCIECHOWSKI</t>
  </si>
  <si>
    <t xml:space="preserve">HUGO WOJCIECHOWSKI     	048	BGC	</t>
  </si>
  <si>
    <t xml:space="preserve">invoice reference 2026-027</t>
  </si>
  <si>
    <t xml:space="preserve">GENEVIEVE KILBRIDE     	2026-027	BGC	</t>
  </si>
  <si>
    <t xml:space="preserve">ZORA ZIMMERLI</t>
  </si>
  <si>
    <t xml:space="preserve">2025-574</t>
  </si>
  <si>
    <t xml:space="preserve">surname ZIMMERLI (prior-term reference 2025-574 — family identified, invoice not loaded)</t>
  </si>
  <si>
    <t xml:space="preserve">ZORA ZIMMERLI          	2025-574	BGC	</t>
  </si>
  <si>
    <t xml:space="preserve">CAMILLE SIGURDSSON     	2nd payment	BGC	</t>
  </si>
  <si>
    <t xml:space="preserve">Gaillard</t>
  </si>
  <si>
    <t xml:space="preserve">surname GAILLARD</t>
  </si>
  <si>
    <t xml:space="preserve">MARGIT GAILLARD        	Gaillard	BGC	</t>
  </si>
  <si>
    <t xml:space="preserve">invoice reference 2026-031</t>
  </si>
  <si>
    <t xml:space="preserve">ZORA MARCHETTI         	2026-031	BGC	</t>
  </si>
  <si>
    <t xml:space="preserve">CAMILLE LINDQVIST</t>
  </si>
  <si>
    <t xml:space="preserve">LINDQVIST FRENCH SCHO</t>
  </si>
  <si>
    <t xml:space="preserve">surname LINDQVIST</t>
  </si>
  <si>
    <t xml:space="preserve">CAMILLE LINDQVIST      	LINDQVIST FRENCH SCHO	BGC	</t>
  </si>
  <si>
    <t xml:space="preserve">invoice reference 2026-056</t>
  </si>
  <si>
    <t xml:space="preserve">KATRIN CASTELLANE      	2026-056	BGC	</t>
  </si>
  <si>
    <t xml:space="preserve">REFUND</t>
  </si>
  <si>
    <t xml:space="preserve">withdrawal refund</t>
  </si>
  <si>
    <t xml:space="preserve">no roster surname or child name (from the bank-sheet note, not the memo)</t>
  </si>
  <si>
    <t xml:space="preserve">outflow / refund; bank truncated the reference field</t>
  </si>
  <si>
    <t xml:space="preserve">REFUND                 	withdrawal refund	BGC	</t>
  </si>
  <si>
    <t xml:space="preserve">Thibodeaux 2nd</t>
  </si>
  <si>
    <t xml:space="preserve">LUDOVIC THIBODEAUX     	Thibodeaux 2nd	BGC	</t>
  </si>
  <si>
    <t xml:space="preserve">surname ZIMMERLI</t>
  </si>
  <si>
    <t xml:space="preserve">ZORA ZIMMERLI          	2nd payment	BGC	</t>
  </si>
  <si>
    <t xml:space="preserve">Darrieussecq</t>
  </si>
  <si>
    <t xml:space="preserve">FERGUS DARRIEUSSECQ    	Darrieussecq	BGC	</t>
  </si>
  <si>
    <t xml:space="preserve">YOLANDE ACHTERBERG</t>
  </si>
  <si>
    <t xml:space="preserve">Achterberg</t>
  </si>
  <si>
    <t xml:space="preserve">FAM-002, FAM-003</t>
  </si>
  <si>
    <t xml:space="preserve">several families fit: FAM-002 (surname ACHTERBERG); FAM-003 (surname ACHTERBERG)</t>
  </si>
  <si>
    <t xml:space="preserve">YOLANDE ACHTERBERG     	Achterberg	BGC	</t>
  </si>
  <si>
    <t xml:space="preserve">invoice reference 2026-004</t>
  </si>
  <si>
    <t xml:space="preserve">INGRID ABARCA          	2026-004	BGC	</t>
  </si>
  <si>
    <t xml:space="preserve">2026025</t>
  </si>
  <si>
    <t xml:space="preserve">invoice reference 2026-025</t>
  </si>
  <si>
    <t xml:space="preserve">JEROME JANKOWSKI       	2026025	BGC	</t>
  </si>
  <si>
    <t xml:space="preserve">053</t>
  </si>
  <si>
    <t xml:space="preserve">STEFAN BOSANQUET       	053	BGC	</t>
  </si>
  <si>
    <t xml:space="preserve">invoice reference 2026-024</t>
  </si>
  <si>
    <t xml:space="preserve">PASCAL IBARRA          	2026-024	BGC	</t>
  </si>
  <si>
    <t xml:space="preserve">invoice reference 2026-047</t>
  </si>
  <si>
    <t xml:space="preserve">MARGIT WENDELIN        	2026-047	BGC	</t>
  </si>
  <si>
    <t xml:space="preserve">ROSALIND GRYNBERG</t>
  </si>
  <si>
    <t xml:space="preserve">Grynberg fees</t>
  </si>
  <si>
    <t xml:space="preserve">surname GRYNBERG</t>
  </si>
  <si>
    <t xml:space="preserve">ROSALIND GRYNBERG      	Grynberg fees	BGC	</t>
  </si>
  <si>
    <t xml:space="preserve">LACHAP2026-028</t>
  </si>
  <si>
    <t xml:space="preserve">invoice reference 2026-028</t>
  </si>
  <si>
    <t xml:space="preserve">CAMILLE LACHAPELLE     	LACHAP2026-028	BGC	</t>
  </si>
  <si>
    <t xml:space="preserve">invoice reference 2026-054</t>
  </si>
  <si>
    <t xml:space="preserve">DERMOT AUCLAIR         	2026-054	BGC	</t>
  </si>
  <si>
    <t xml:space="preserve">invoice reference 2026-040</t>
  </si>
  <si>
    <t xml:space="preserve">HUGO SANDOVAL          	2026-040	BGC	</t>
  </si>
  <si>
    <t xml:space="preserve">Fitzhugh 2nd</t>
  </si>
  <si>
    <t xml:space="preserve">TOVE FITZHUGH          	Fitzhugh 2nd	BGC	</t>
  </si>
  <si>
    <t xml:space="preserve">ELODIE ROCHETEAU</t>
  </si>
  <si>
    <t xml:space="preserve">039</t>
  </si>
  <si>
    <t xml:space="preserve">surname ROCHETEAU</t>
  </si>
  <si>
    <t xml:space="preserve">ELODIE ROCHETEAU       	039	BGC	</t>
  </si>
  <si>
    <t xml:space="preserve">JEROME JANKOWSKI       	2nd payment	BGC	</t>
  </si>
  <si>
    <t xml:space="preserve">CAMILLE FERREIRO</t>
  </si>
  <si>
    <t xml:space="preserve">2025-503</t>
  </si>
  <si>
    <t xml:space="preserve">surname FERREIRO (prior-term reference 2025-503 — family identified, invoice not loaded)</t>
  </si>
  <si>
    <t xml:space="preserve">CAMILLE FERREIRO       	2025-503	BGC	</t>
  </si>
  <si>
    <t xml:space="preserve">invoice reference 2026-001</t>
  </si>
  <si>
    <t xml:space="preserve">ADRIEN ACHTERBERG-MARCH	2026-001	BGC	</t>
  </si>
  <si>
    <t xml:space="preserve">invoice reference 2026-053</t>
  </si>
  <si>
    <t xml:space="preserve">STEFAN BOSANQUET       	2026-053	BGC	</t>
  </si>
  <si>
    <t xml:space="preserve">JEROME PERREAULT</t>
  </si>
  <si>
    <t xml:space="preserve">surname PERREAULT (prior-term reference 2025-641 — family identified, invoice not loaded)</t>
  </si>
  <si>
    <t xml:space="preserve">JEROME PERREAULT       	2025-641	BGC	</t>
  </si>
  <si>
    <t xml:space="preserve">PASCAL BRANNIGAN</t>
  </si>
  <si>
    <t xml:space="preserve">Brannigan</t>
  </si>
  <si>
    <t xml:space="preserve">surname BRANNIGAN</t>
  </si>
  <si>
    <t xml:space="preserve">PASCAL BRANNIGAN       	Brannigan	BGC	</t>
  </si>
  <si>
    <t xml:space="preserve">MARGIT BELHADJ-TREVELYA</t>
  </si>
  <si>
    <t xml:space="preserve">FAM-008, FAM-009, FAM-042</t>
  </si>
  <si>
    <t xml:space="preserve">reference 2026-003 points to FAM-042 but the memo names FAM-008, FAM-009 — parent may have typed the wrong invoice number</t>
  </si>
  <si>
    <t xml:space="preserve">MARGIT BELHADJ-TREVELYA	2026-003	BGC	</t>
  </si>
  <si>
    <t xml:space="preserve">TOVE CHIDOZIE</t>
  </si>
  <si>
    <t xml:space="preserve">CHIDOZIE FRENCH SCHOO</t>
  </si>
  <si>
    <t xml:space="preserve">C</t>
  </si>
  <si>
    <t xml:space="preserve">surname CHIDOZIE — chosen over FAM-016 because only this family is billed this term</t>
  </si>
  <si>
    <t xml:space="preserve">TOVE CHIDOZIE          	CHIDOZIE FRENCH SCHOO	BGC	</t>
  </si>
  <si>
    <t xml:space="preserve">CAMILLE LACHAPELLE     	2026-028	BGC	</t>
  </si>
  <si>
    <t xml:space="preserve">ULRICH CARDOSO</t>
  </si>
  <si>
    <t xml:space="preserve">CARDOSO FRENCH SCHOOL</t>
  </si>
  <si>
    <t xml:space="preserve">surname CARDOSO</t>
  </si>
  <si>
    <t xml:space="preserve">ULRICH CARDOSO         	CARDOSO FRENCH SCHOOL	BGC	</t>
  </si>
  <si>
    <t xml:space="preserve">invoice reference 2026-006</t>
  </si>
  <si>
    <t xml:space="preserve">INGRID BAPTISTE        	2026-006	BGC	</t>
  </si>
  <si>
    <t xml:space="preserve">NILS BLOMFIELD</t>
  </si>
  <si>
    <t xml:space="preserve">BLOMFIELD FRENCH SCHO</t>
  </si>
  <si>
    <t xml:space="preserve">surname BLOMFIELD</t>
  </si>
  <si>
    <t xml:space="preserve">NILS BLOMFIELD         	BLOMFIELD FRENCH SCHO	BGC	</t>
  </si>
  <si>
    <t xml:space="preserve">2026026</t>
  </si>
  <si>
    <t xml:space="preserve">invoice reference 2026-026</t>
  </si>
  <si>
    <t xml:space="preserve">ELODIE KACZMAREK       	2026026	BGC	</t>
  </si>
  <si>
    <t xml:space="preserve">COMEAU2026-013</t>
  </si>
  <si>
    <t xml:space="preserve">invoice reference 2026-013</t>
  </si>
  <si>
    <t xml:space="preserve">ZORA COMEAU            	COMEAU2026-013	BGC	</t>
  </si>
  <si>
    <t xml:space="preserve">invoice reference 2026-050</t>
  </si>
  <si>
    <t xml:space="preserve">NILS ZABALA            	2026-050	BGC	</t>
  </si>
  <si>
    <t xml:space="preserve">invoice reference 2026-044</t>
  </si>
  <si>
    <t xml:space="preserve">GENEVIEVE UCHENDU      	2026-044	BGC	</t>
  </si>
  <si>
    <t xml:space="preserve">invoice reference 2026-014</t>
  </si>
  <si>
    <t xml:space="preserve">FERGUS DARRIEUSSECQ    	2026-014	BGC	</t>
  </si>
  <si>
    <t xml:space="preserve">MARGIT PELLETIER</t>
  </si>
  <si>
    <t xml:space="preserve">2025-627</t>
  </si>
  <si>
    <t xml:space="preserve">FAM-042, FAM-045</t>
  </si>
  <si>
    <t xml:space="preserve">several families fit: FAM-042 (surname PELLETIER); FAM-045 (surname PELLETIER)</t>
  </si>
  <si>
    <t xml:space="preserve">MARGIT PELLETIER       	2025-627	BGC	</t>
  </si>
  <si>
    <t xml:space="preserve">Ferreiro 2nd</t>
  </si>
  <si>
    <t xml:space="preserve">surname FERREIRO</t>
  </si>
  <si>
    <t xml:space="preserve">CAMILLE FERREIRO       	Ferreiro 2nd	BGC	</t>
  </si>
  <si>
    <t xml:space="preserve">Chidozie</t>
  </si>
  <si>
    <t xml:space="preserve">TOVE CHIDOZIE          	Chidozie	BGC	</t>
  </si>
  <si>
    <t xml:space="preserve">Pelletier 2nd</t>
  </si>
  <si>
    <t xml:space="preserve">MARGIT PELLETIER       	Pelletier 2nd	BGC	</t>
  </si>
  <si>
    <t xml:space="preserve">Zabala 2nd</t>
  </si>
  <si>
    <t xml:space="preserve">NILS ZABALA            	Zabala 2nd	BGC	</t>
  </si>
  <si>
    <t xml:space="preserve">Baptiste</t>
  </si>
  <si>
    <t xml:space="preserve">INGRID BAPTISTE        	Baptiste	BGC	</t>
  </si>
  <si>
    <t xml:space="preserve">Review queue — receipts the engine would not allocate. Decide, then type the family ID into Receipts column M (row shown) and re-run.</t>
  </si>
  <si>
    <t xml:space="preserve">Row in Receipts</t>
  </si>
  <si>
    <t xml:space="preserve">Most likely family</t>
  </si>
  <si>
    <t xml:space="preserve">Why the engine stopped</t>
  </si>
  <si>
    <t xml:space="preserve">That family's expected fee</t>
  </si>
  <si>
    <t xml:space="preserve">FAM-009 BELHADJ-TREVELYAN, FAM-053 TREVELYAN</t>
  </si>
  <si>
    <t xml:space="preserve">n/a</t>
  </si>
  <si>
    <t xml:space="preserve">FAM-042 NAKASHIMA-PELLETIER, FAM-045 PELLETIER</t>
  </si>
  <si>
    <t xml:space="preserve">FAM-008 BELHADJ, FAM-045 PELLETIER</t>
  </si>
  <si>
    <t xml:space="preserve">FAM-032 HOLLINGWORTH, FAM-033 IBARRA</t>
  </si>
  <si>
    <t xml:space="preserve">FAM-002 ACHTERBERG, FAM-003 ACHTERBERG-MARCHETTI</t>
  </si>
  <si>
    <t xml:space="preserve">FAM-008 BELHADJ, FAM-009 BELHADJ-TREVELYAN, FAM-042 NAKASHIMA-PELLETIER</t>
  </si>
  <si>
    <t xml:space="preserve">FAM-017 CHIDOZIE</t>
  </si>
  <si>
    <t xml:space="preserve">FAM-048 RASMUSSEN, FAM-049 ROCHETEAU</t>
  </si>
  <si>
    <t xml:space="preserve">Position — JAN-2026. One row per family. Green = settled. Red = owing. Amber = check the last two columns before chasing.</t>
  </si>
  <si>
    <t xml:space="preserve">Report date</t>
  </si>
  <si>
    <t xml:space="preserve">Children</t>
  </si>
  <si>
    <t xml:space="preserve">Invoice no(s)</t>
  </si>
  <si>
    <t xml:space="preserve">Expected</t>
  </si>
  <si>
    <t xml:space="preserve">Received</t>
  </si>
  <si>
    <t xml:space="preserve">Balance</t>
  </si>
  <si>
    <t xml:space="preserve">Last payment</t>
  </si>
  <si>
    <t xml:space="preserve">Days</t>
  </si>
  <si>
    <t xml:space="preserve">References used (bank)</t>
  </si>
  <si>
    <t xml:space="preserve">Needs a look</t>
  </si>
  <si>
    <t xml:space="preserve">1 receipt(s) in Review name this family</t>
  </si>
  <si>
    <t xml:space="preserve">£774.50 tagged AUT-2025 looks like a JAN-2026 payment</t>
  </si>
  <si>
    <t xml:space="preserve">3 receipt(s) in Review name this family; £767.50 tagged AUT-2025 looks like a JAN-2026 payment</t>
  </si>
  <si>
    <t xml:space="preserve">2 receipt(s) in Review name this family</t>
  </si>
  <si>
    <t xml:space="preserve">£520.50 tagged AUT-2025 looks like a JAN-2026 payment</t>
  </si>
  <si>
    <t xml:space="preserve">£434.50 tagged AUT-2025 looks like a JAN-2026 payment</t>
  </si>
  <si>
    <t xml:space="preserve">3 receipt(s) in Review name this family</t>
  </si>
  <si>
    <t xml:space="preserve">£409.50 tagged AUT-2025 looks like a JAN-2026 payment</t>
  </si>
  <si>
    <t xml:space="preserve">£217.25 tagged AUT-2025 looks like a JAN-2026 payment</t>
  </si>
  <si>
    <t xml:space="preserve">£204.75 tagged AUT-2025 looks like a JAN-2026 payment</t>
  </si>
  <si>
    <t xml:space="preserve">2026-006 | Baptiste</t>
  </si>
  <si>
    <t xml:space="preserve">053 | 2026-053</t>
  </si>
  <si>
    <t xml:space="preserve">2026-014 | Darrieussecq</t>
  </si>
  <si>
    <t xml:space="preserve">ERIKSE2026-017 | Eriksen 2nd</t>
  </si>
  <si>
    <t xml:space="preserve">2026-019 | Fitzhugh 2nd</t>
  </si>
  <si>
    <t xml:space="preserve">Esben | Gaillard</t>
  </si>
  <si>
    <t xml:space="preserve">2026025 | 2nd payment</t>
  </si>
  <si>
    <t xml:space="preserve">2026-028 | LACHAP2026-028</t>
  </si>
  <si>
    <t xml:space="preserve">2nd payment | MAALOU2026-030</t>
  </si>
  <si>
    <t xml:space="preserve">2026041 | 2nd payment</t>
  </si>
  <si>
    <t xml:space="preserve">Thibodeaux 2nd | Thibodeaux fees</t>
  </si>
  <si>
    <t xml:space="preserve">2026-050 | Zabala 2nd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</si>
</sst>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£#,##0.00;&quot;(£&quot;#,##0.00\);\-"/>
    <numFmt numFmtId="167" formatCode="0.0%"/>
    <numFmt numFmtId="168" formatCode="dd/mm/yyyy"/>
    <numFmt numFmtId="169" formatCode="0.0"/>
    <numFmt numFmtId="170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FFF2CC"/>
      </patternFill>
    </fill>
    <fill>
      <patternFill patternType="solid">
        <fgColor rgb="FFE2EFDA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FCE4E4"/>
          <bgColor rgb="FF000000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ill>
        <patternFill>
          <bgColor rgb="FFFCE4E4"/>
        </patternFill>
      </fill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CE4E4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COUNT(Receipts!$B$4:$B$600)</f>
        <v>80</v>
      </c>
    </row>
    <row r="5" customFormat="false" ht="15" hidden="false" customHeight="false" outlineLevel="0" collapsed="false">
      <c r="A5" s="3" t="s">
        <v>3</v>
      </c>
      <c r="B5" s="5" t="n">
        <f aca="false">SUMIF(Receipts!$B$4:$B$600,"&gt;0")</f>
        <v>37328.24</v>
      </c>
    </row>
    <row r="6" customFormat="false" ht="15" hidden="false" customHeight="false" outlineLevel="0" collapsed="false">
      <c r="A6" s="3" t="s">
        <v>4</v>
      </c>
      <c r="B6" s="5" t="n">
        <f aca="false">SUMIF(Receipts!$B$4:$B$600,"&lt;0")</f>
        <v>-409.5</v>
      </c>
    </row>
    <row r="7" customFormat="false" ht="15" hidden="false" customHeight="false" outlineLevel="0" collapsed="false">
      <c r="A7" s="3" t="s">
        <v>5</v>
      </c>
      <c r="B7" s="5" t="n">
        <f aca="false">SUMIFS(Receipts!$B$4:$B$600,Receipts!$E$4:$E$600,"AUT-2025",Receipts!$B$4:$B$600,"&gt;0")</f>
        <v>4125.25</v>
      </c>
    </row>
    <row r="8" customFormat="false" ht="15" hidden="false" customHeight="false" outlineLevel="0" collapsed="false">
      <c r="A8" s="3" t="s">
        <v>6</v>
      </c>
      <c r="B8" s="5" t="n">
        <f aca="false">SUMIFS(Receipts!$B$4:$B$600,Receipts!$E$4:$E$600,"JAN-2026",Receipts!$B$4:$B$600,"&gt;0")</f>
        <v>33202.99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  <c r="B11" s="4" t="n">
        <f aca="false">COUNTIF(Receipts!$I$4:$I$600,"M")</f>
        <v>0</v>
      </c>
    </row>
    <row r="12" customFormat="false" ht="15" hidden="false" customHeight="false" outlineLevel="0" collapsed="false">
      <c r="A12" s="3" t="s">
        <v>9</v>
      </c>
      <c r="B12" s="5" t="n">
        <f aca="false">SUMIFS(Receipts!$B$4:$B$600,Receipts!$I$4:$I$600,"M",Receipts!$B$4:$B$600,"&gt;0")</f>
        <v>0</v>
      </c>
    </row>
    <row r="13" customFormat="false" ht="15" hidden="false" customHeight="false" outlineLevel="0" collapsed="false">
      <c r="A13" s="3" t="s">
        <v>10</v>
      </c>
      <c r="B13" s="4" t="n">
        <f aca="false">COUNTIF(Receipts!$I$4:$I$600,"A")</f>
        <v>40</v>
      </c>
    </row>
    <row r="14" customFormat="false" ht="15" hidden="false" customHeight="false" outlineLevel="0" collapsed="false">
      <c r="A14" s="3" t="s">
        <v>11</v>
      </c>
      <c r="B14" s="5" t="n">
        <f aca="false">SUMIFS(Receipts!$B$4:$B$600,Receipts!$I$4:$I$600,"A",Receipts!$B$4:$B$600,"&gt;0")</f>
        <v>19229.12</v>
      </c>
    </row>
    <row r="15" customFormat="false" ht="15" hidden="false" customHeight="false" outlineLevel="0" collapsed="false">
      <c r="A15" s="3" t="s">
        <v>12</v>
      </c>
      <c r="B15" s="4" t="n">
        <f aca="false">COUNTIF(Receipts!$I$4:$I$600,"B")</f>
        <v>29</v>
      </c>
    </row>
    <row r="16" customFormat="false" ht="15" hidden="false" customHeight="false" outlineLevel="0" collapsed="false">
      <c r="A16" s="3" t="s">
        <v>13</v>
      </c>
      <c r="B16" s="5" t="n">
        <f aca="false">SUMIFS(Receipts!$B$4:$B$600,Receipts!$I$4:$I$600,"B",Receipts!$B$4:$B$600,"&gt;0")</f>
        <v>13453.87</v>
      </c>
    </row>
    <row r="17" customFormat="false" ht="15" hidden="false" customHeight="false" outlineLevel="0" collapsed="false">
      <c r="A17" s="3" t="s">
        <v>14</v>
      </c>
      <c r="B17" s="4" t="n">
        <f aca="false">COUNTIF(Receipts!$I$4:$I$600,"C")</f>
        <v>2</v>
      </c>
    </row>
    <row r="18" customFormat="false" ht="15" hidden="false" customHeight="false" outlineLevel="0" collapsed="false">
      <c r="A18" s="3" t="s">
        <v>15</v>
      </c>
      <c r="B18" s="5" t="n">
        <f aca="false">SUMIFS(Receipts!$B$4:$B$600,Receipts!$I$4:$I$600,"C",Receipts!$B$4:$B$600,"&gt;0")</f>
        <v>694</v>
      </c>
    </row>
    <row r="19" customFormat="false" ht="15" hidden="false" customHeight="false" outlineLevel="0" collapsed="false">
      <c r="A19" s="3" t="s">
        <v>16</v>
      </c>
      <c r="B19" s="4" t="n">
        <f aca="false">COUNTIF(Receipts!$I$4:$I$600,"D")</f>
        <v>6</v>
      </c>
    </row>
    <row r="20" customFormat="false" ht="15" hidden="false" customHeight="false" outlineLevel="0" collapsed="false">
      <c r="A20" s="3" t="s">
        <v>17</v>
      </c>
      <c r="B20" s="5" t="n">
        <f aca="false">SUMIFS(Receipts!$B$4:$B$600,Receipts!$I$4:$I$600,"D",Receipts!$B$4:$B$600,"&gt;0")</f>
        <v>2852.5</v>
      </c>
    </row>
    <row r="21" customFormat="false" ht="15" hidden="false" customHeight="false" outlineLevel="0" collapsed="false">
      <c r="A21" s="3" t="s">
        <v>18</v>
      </c>
      <c r="B21" s="4" t="n">
        <f aca="false">COUNTIF(Receipts!$I$4:$I$600,"X")</f>
        <v>3</v>
      </c>
    </row>
    <row r="22" customFormat="false" ht="15" hidden="false" customHeight="false" outlineLevel="0" collapsed="false">
      <c r="A22" s="3" t="s">
        <v>19</v>
      </c>
      <c r="B22" s="5" t="n">
        <f aca="false">SUMIFS(Receipts!$B$4:$B$600,Receipts!$I$4:$I$600,"X",Receipts!$B$4:$B$600,"&gt;0")</f>
        <v>1098.75</v>
      </c>
    </row>
    <row r="23" customFormat="false" ht="15" hidden="false" customHeight="false" outlineLevel="0" collapsed="false">
      <c r="A23" s="3" t="s">
        <v>20</v>
      </c>
      <c r="B23" s="4" t="n">
        <f aca="false">COUNTIF(Receipts!$H$4:$H$600,"yes")</f>
        <v>69</v>
      </c>
    </row>
    <row r="24" customFormat="false" ht="15" hidden="false" customHeight="false" outlineLevel="0" collapsed="false">
      <c r="A24" s="3" t="s">
        <v>21</v>
      </c>
      <c r="B24" s="6" t="n">
        <f aca="false">IF(COUNT(Receipts!$B$4:$B$600)=0,0,COUNTIF(Receipts!$H$4:$H$600,"yes")/COUNT(Receipts!$B$4:$B$600))</f>
        <v>0.8625</v>
      </c>
    </row>
    <row r="25" customFormat="false" ht="15" hidden="false" customHeight="false" outlineLevel="0" collapsed="false">
      <c r="A25" s="3" t="s">
        <v>22</v>
      </c>
      <c r="B25" s="5" t="n">
        <f aca="false">SUMIFS(Receipts!$B$4:$B$600,Receipts!$E$4:$E$600,"JAN-2026",Receipts!$H$4:$H$600,"yes",Receipts!$B$4:$B$600,"&gt;0")</f>
        <v>29149.74</v>
      </c>
    </row>
    <row r="26" customFormat="false" ht="15" hidden="false" customHeight="false" outlineLevel="0" collapsed="false">
      <c r="A26" s="3" t="s">
        <v>23</v>
      </c>
      <c r="B26" s="5" t="n">
        <f aca="false">SUMIFS(Receipts!$B$4:$B$600,Receipts!$E$4:$E$600,"JAN-2026",Receipts!$H$4:$H$600,"",Receipts!$B$4:$B$600,"&gt;0")</f>
        <v>4053.25</v>
      </c>
    </row>
    <row r="27" customFormat="false" ht="15" hidden="false" customHeight="false" outlineLevel="0" collapsed="false">
      <c r="A27" s="3" t="s">
        <v>24</v>
      </c>
      <c r="B27" s="4" t="n">
        <f aca="false">COUNTA(Review!$A$4:$A$600)</f>
        <v>11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3" t="s">
        <v>26</v>
      </c>
      <c r="B30" s="5" t="n">
        <f aca="false">SUM(Position!$E$5:$E$600)</f>
        <v>36231.74</v>
      </c>
    </row>
    <row r="31" customFormat="false" ht="15" hidden="false" customHeight="false" outlineLevel="0" collapsed="false">
      <c r="A31" s="3" t="s">
        <v>27</v>
      </c>
      <c r="B31" s="5" t="n">
        <f aca="false">SUM(Position!$F$5:$F$600)</f>
        <v>29149.74</v>
      </c>
    </row>
    <row r="32" customFormat="false" ht="15" hidden="false" customHeight="false" outlineLevel="0" collapsed="false">
      <c r="A32" s="3" t="s">
        <v>28</v>
      </c>
      <c r="B32" s="5" t="n">
        <f aca="false">SUMIF(Position!$G$5:$G$600,"&gt;0")</f>
        <v>7491.5</v>
      </c>
    </row>
    <row r="33" customFormat="false" ht="15" hidden="false" customHeight="false" outlineLevel="0" collapsed="false">
      <c r="A33" s="3" t="s">
        <v>29</v>
      </c>
      <c r="B33" s="4" t="n">
        <f aca="false">COUNTIF(Position!$H$5:$H$600,"settled")</f>
        <v>43</v>
      </c>
    </row>
    <row r="34" customFormat="false" ht="15" hidden="false" customHeight="false" outlineLevel="0" collapsed="false">
      <c r="A34" s="3" t="s">
        <v>30</v>
      </c>
      <c r="B34" s="4" t="n">
        <f aca="false">COUNTIF(Position!$H$5:$H$600,"part paid")</f>
        <v>5</v>
      </c>
    </row>
    <row r="35" customFormat="false" ht="15" hidden="false" customHeight="false" outlineLevel="0" collapsed="false">
      <c r="A35" s="3" t="s">
        <v>31</v>
      </c>
      <c r="B35" s="4" t="n">
        <f aca="false">COUNTIF(Position!$H$5:$H$600,"unpaid")</f>
        <v>11</v>
      </c>
    </row>
    <row r="36" customFormat="false" ht="15" hidden="false" customHeight="false" outlineLevel="0" collapsed="false">
      <c r="A36" s="3" t="s">
        <v>32</v>
      </c>
      <c r="B36" s="4" t="n">
        <f aca="false">COUNTIF(Position!$H$5:$H$600,"overpaid")</f>
        <v>1</v>
      </c>
    </row>
    <row r="37" customFormat="false" ht="15" hidden="false" customHeight="false" outlineLevel="0" collapsed="false">
      <c r="A37" s="3" t="s">
        <v>33</v>
      </c>
      <c r="B37" s="4" t="n">
        <f aca="false">COUNTIF(Position!$M$5:$M$600,"?*")</f>
        <v>19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3" t="s">
        <v>35</v>
      </c>
      <c r="B40" s="4" t="n">
        <f aca="false">COUNTIF(Children!$F$4:$F$500,"Enrolled")</f>
        <v>93</v>
      </c>
    </row>
    <row r="41" customFormat="false" ht="15" hidden="false" customHeight="false" outlineLevel="0" collapsed="false">
      <c r="A41" s="3" t="s">
        <v>36</v>
      </c>
      <c r="B41" s="4" t="n">
        <f aca="false">COUNTIFS(Children!$F$4:$F$500,"Enrolled",Children!$U$4:$U$500,"OK")</f>
        <v>90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7" t="s">
        <v>38</v>
      </c>
    </row>
    <row r="2" customFormat="false" ht="15" hidden="false" customHeight="false" outlineLevel="0" collapsed="false">
      <c r="A2" s="8" t="s">
        <v>39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9" t="s">
        <v>40</v>
      </c>
    </row>
    <row r="5" customFormat="false" ht="15" hidden="false" customHeight="false" outlineLevel="0" collapsed="false">
      <c r="A5" s="8" t="s">
        <v>41</v>
      </c>
    </row>
    <row r="6" customFormat="false" ht="15" hidden="false" customHeight="false" outlineLevel="0" collapsed="false">
      <c r="A6" s="8" t="s">
        <v>42</v>
      </c>
    </row>
    <row r="7" customFormat="false" ht="15" hidden="false" customHeight="false" outlineLevel="0" collapsed="false">
      <c r="A7" s="8" t="s">
        <v>43</v>
      </c>
    </row>
    <row r="8" customFormat="false" ht="15" hidden="false" customHeight="false" outlineLevel="0" collapsed="false">
      <c r="A8" s="8" t="s">
        <v>44</v>
      </c>
    </row>
    <row r="9" customFormat="false" ht="15" hidden="false" customHeight="false" outlineLevel="0" collapsed="false">
      <c r="A9" s="8" t="s">
        <v>45</v>
      </c>
    </row>
    <row r="10" customFormat="false" ht="15" hidden="false" customHeight="false" outlineLevel="0" collapsed="false">
      <c r="A10" s="8" t="s">
        <v>46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9" t="s">
        <v>47</v>
      </c>
    </row>
    <row r="13" customFormat="false" ht="15" hidden="false" customHeight="false" outlineLevel="0" collapsed="false">
      <c r="A13" s="8" t="s">
        <v>48</v>
      </c>
    </row>
    <row r="14" customFormat="false" ht="15" hidden="false" customHeight="false" outlineLevel="0" collapsed="false">
      <c r="A14" s="8" t="s">
        <v>49</v>
      </c>
    </row>
    <row r="15" customFormat="false" ht="15" hidden="false" customHeight="false" outlineLevel="0" collapsed="false">
      <c r="A15" s="8" t="s">
        <v>50</v>
      </c>
    </row>
    <row r="16" customFormat="false" ht="15" hidden="false" customHeight="false" outlineLevel="0" collapsed="false">
      <c r="A16" s="8"/>
    </row>
    <row r="17" customFormat="false" ht="15" hidden="false" customHeight="false" outlineLevel="0" collapsed="false">
      <c r="A17" s="9" t="s">
        <v>51</v>
      </c>
    </row>
    <row r="18" customFormat="false" ht="35.05" hidden="false" customHeight="false" outlineLevel="0" collapsed="false">
      <c r="A18" s="8" t="s">
        <v>52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9" t="s">
        <v>53</v>
      </c>
    </row>
    <row r="21" customFormat="false" ht="15" hidden="false" customHeight="false" outlineLevel="0" collapsed="false">
      <c r="A21" s="8" t="s">
        <v>54</v>
      </c>
    </row>
    <row r="22" customFormat="false" ht="23.85" hidden="false" customHeight="false" outlineLevel="0" collapsed="false">
      <c r="A22" s="8" t="s">
        <v>55</v>
      </c>
    </row>
    <row r="23" customFormat="false" ht="15" hidden="false" customHeight="false" outlineLevel="0" collapsed="false">
      <c r="A23" s="8" t="s">
        <v>56</v>
      </c>
    </row>
    <row r="24" customFormat="false" ht="15" hidden="false" customHeight="false" outlineLevel="0" collapsed="false">
      <c r="A24" s="8"/>
    </row>
    <row r="25" customFormat="false" ht="15" hidden="false" customHeight="false" outlineLevel="0" collapsed="false">
      <c r="A25" s="9" t="s">
        <v>57</v>
      </c>
    </row>
    <row r="26" customFormat="false" ht="15" hidden="false" customHeight="false" outlineLevel="0" collapsed="false">
      <c r="A26" s="8" t="s">
        <v>58</v>
      </c>
    </row>
    <row r="27" customFormat="false" ht="15" hidden="false" customHeight="false" outlineLevel="0" collapsed="false">
      <c r="A27" s="8" t="s">
        <v>59</v>
      </c>
    </row>
    <row r="28" customFormat="false" ht="15" hidden="false" customHeight="false" outlineLevel="0" collapsed="false">
      <c r="A28" s="8" t="s">
        <v>60</v>
      </c>
    </row>
    <row r="29" customFormat="false" ht="15" hidden="false" customHeight="false" outlineLevel="0" collapsed="false">
      <c r="A29" s="8" t="s">
        <v>61</v>
      </c>
    </row>
    <row r="30" customFormat="false" ht="15" hidden="false" customHeight="false" outlineLevel="0" collapsed="false">
      <c r="A30" s="8"/>
    </row>
    <row r="31" customFormat="false" ht="15" hidden="false" customHeight="false" outlineLevel="0" collapsed="false">
      <c r="A31" s="9" t="s">
        <v>62</v>
      </c>
    </row>
    <row r="32" customFormat="false" ht="23.85" hidden="false" customHeight="false" outlineLevel="0" collapsed="false">
      <c r="A32" s="8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64</v>
      </c>
    </row>
    <row r="3" customFormat="false" ht="15" hidden="false" customHeight="false" outlineLevel="0" collapsed="false">
      <c r="A3" s="10" t="s">
        <v>65</v>
      </c>
      <c r="B3" s="10" t="s">
        <v>66</v>
      </c>
      <c r="C3" s="10" t="s">
        <v>67</v>
      </c>
      <c r="D3" s="10" t="s">
        <v>68</v>
      </c>
    </row>
    <row r="4" customFormat="false" ht="15" hidden="false" customHeight="false" outlineLevel="0" collapsed="false">
      <c r="A4" s="3" t="s">
        <v>69</v>
      </c>
      <c r="B4" s="3" t="s">
        <v>70</v>
      </c>
      <c r="C4" s="11" t="n">
        <v>19.5</v>
      </c>
      <c r="D4" s="3" t="s">
        <v>71</v>
      </c>
    </row>
    <row r="5" customFormat="false" ht="15" hidden="false" customHeight="false" outlineLevel="0" collapsed="false">
      <c r="A5" s="3" t="s">
        <v>72</v>
      </c>
      <c r="B5" s="3" t="s">
        <v>70</v>
      </c>
      <c r="C5" s="11" t="n">
        <v>34.5</v>
      </c>
      <c r="D5" s="3" t="s">
        <v>73</v>
      </c>
    </row>
    <row r="6" customFormat="false" ht="15" hidden="false" customHeight="false" outlineLevel="0" collapsed="false">
      <c r="A6" s="3" t="s">
        <v>74</v>
      </c>
      <c r="B6" s="3" t="s">
        <v>70</v>
      </c>
      <c r="C6" s="11" t="n">
        <v>46</v>
      </c>
      <c r="D6" s="3" t="s">
        <v>75</v>
      </c>
    </row>
    <row r="7" customFormat="false" ht="15" hidden="false" customHeight="false" outlineLevel="0" collapsed="false">
      <c r="A7" s="3" t="s">
        <v>76</v>
      </c>
      <c r="B7" s="3" t="s">
        <v>70</v>
      </c>
      <c r="C7" s="11" t="n">
        <v>57.1</v>
      </c>
      <c r="D7" s="3" t="s">
        <v>77</v>
      </c>
    </row>
    <row r="9" customFormat="false" ht="15" hidden="false" customHeight="false" outlineLevel="0" collapsed="false">
      <c r="A9" s="3" t="s">
        <v>78</v>
      </c>
      <c r="B9" s="3" t="s">
        <v>79</v>
      </c>
      <c r="C9" s="11" t="n">
        <v>16</v>
      </c>
      <c r="D9" s="3" t="s">
        <v>80</v>
      </c>
    </row>
    <row r="11" customFormat="false" ht="15" hidden="false" customHeight="false" outlineLevel="0" collapsed="false">
      <c r="A11" s="3" t="s">
        <v>81</v>
      </c>
      <c r="B11" s="3" t="s">
        <v>82</v>
      </c>
      <c r="C11" s="11" t="n">
        <v>25</v>
      </c>
      <c r="D11" s="3" t="s">
        <v>83</v>
      </c>
    </row>
    <row r="12" customFormat="false" ht="15" hidden="false" customHeight="false" outlineLevel="0" collapsed="false">
      <c r="A12" s="3" t="s">
        <v>84</v>
      </c>
      <c r="B12" s="3" t="s">
        <v>85</v>
      </c>
      <c r="C12" s="11" t="n">
        <v>25</v>
      </c>
      <c r="D12" s="3" t="s">
        <v>86</v>
      </c>
    </row>
    <row r="14" customFormat="false" ht="15" hidden="false" customHeight="false" outlineLevel="0" collapsed="false">
      <c r="A14" s="3" t="s">
        <v>87</v>
      </c>
      <c r="B14" s="3" t="s">
        <v>88</v>
      </c>
      <c r="C14" s="11" t="n">
        <v>19.5</v>
      </c>
      <c r="D14" s="3" t="s">
        <v>89</v>
      </c>
    </row>
    <row r="15" customFormat="false" ht="15" hidden="false" customHeight="false" outlineLevel="0" collapsed="false">
      <c r="A15" s="3" t="s">
        <v>90</v>
      </c>
      <c r="B15" s="3" t="s">
        <v>88</v>
      </c>
      <c r="C15" s="11" t="n">
        <v>16</v>
      </c>
      <c r="D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90"/>
  </cols>
  <sheetData>
    <row r="1" customFormat="false" ht="16.15" hidden="false" customHeight="false" outlineLevel="0" collapsed="false">
      <c r="A1" s="1" t="s">
        <v>91</v>
      </c>
    </row>
    <row r="3" customFormat="false" ht="23.85" hidden="false" customHeight="false" outlineLevel="0" collapsed="false">
      <c r="A3" s="10" t="s">
        <v>92</v>
      </c>
      <c r="B3" s="10" t="s">
        <v>93</v>
      </c>
      <c r="C3" s="10" t="s">
        <v>94</v>
      </c>
      <c r="D3" s="10" t="s">
        <v>95</v>
      </c>
      <c r="E3" s="10" t="s">
        <v>96</v>
      </c>
      <c r="F3" s="10" t="s">
        <v>97</v>
      </c>
      <c r="G3" s="10" t="s">
        <v>98</v>
      </c>
      <c r="H3" s="10" t="s">
        <v>99</v>
      </c>
      <c r="I3" s="10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12" t="n">
        <v>11</v>
      </c>
      <c r="D4" s="12" t="n">
        <v>11</v>
      </c>
      <c r="E4" s="12" t="s">
        <v>103</v>
      </c>
      <c r="F4" s="12" t="s">
        <v>104</v>
      </c>
      <c r="G4" s="13" t="n">
        <v>45870</v>
      </c>
      <c r="H4" s="13" t="n">
        <v>46005</v>
      </c>
      <c r="I4" s="3" t="s">
        <v>105</v>
      </c>
    </row>
    <row r="5" customFormat="false" ht="15" hidden="false" customHeight="false" outlineLevel="0" collapsed="false">
      <c r="A5" s="3" t="s">
        <v>106</v>
      </c>
      <c r="B5" s="3" t="s">
        <v>107</v>
      </c>
      <c r="C5" s="12" t="n">
        <v>21</v>
      </c>
      <c r="D5" s="12" t="n">
        <v>20</v>
      </c>
      <c r="E5" s="12" t="s">
        <v>108</v>
      </c>
      <c r="F5" s="12" t="s">
        <v>109</v>
      </c>
      <c r="G5" s="13" t="n">
        <v>46006</v>
      </c>
      <c r="H5" s="13" t="n">
        <v>46265</v>
      </c>
      <c r="I5" s="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111</v>
      </c>
    </row>
    <row r="3" customFormat="false" ht="46.25" hidden="false" customHeight="false" outlineLevel="0" collapsed="false">
      <c r="A3" s="10" t="s">
        <v>112</v>
      </c>
      <c r="B3" s="10" t="s">
        <v>113</v>
      </c>
      <c r="C3" s="10" t="s">
        <v>114</v>
      </c>
      <c r="D3" s="10" t="s">
        <v>115</v>
      </c>
      <c r="E3" s="10" t="s">
        <v>116</v>
      </c>
      <c r="F3" s="10" t="s">
        <v>117</v>
      </c>
      <c r="G3" s="10" t="s">
        <v>118</v>
      </c>
      <c r="H3" s="10" t="s">
        <v>100</v>
      </c>
    </row>
    <row r="4" customFormat="false" ht="15" hidden="false" customHeight="false" outlineLevel="0" collapsed="false">
      <c r="A4" s="12" t="s">
        <v>119</v>
      </c>
      <c r="B4" s="12" t="s">
        <v>120</v>
      </c>
      <c r="C4" s="3" t="n">
        <f aca="false">COUNTIF(Children!$B$4:$B$500,$A4)</f>
        <v>1</v>
      </c>
      <c r="D4" s="3" t="n">
        <f aca="false">COUNTIFS(Children!$B$4:$B$500,$A4,Children!$F$4:$F$500,"Enrolled")</f>
        <v>1</v>
      </c>
      <c r="E4" s="12" t="s">
        <v>121</v>
      </c>
      <c r="F4" s="14"/>
      <c r="G4" s="15" t="s">
        <v>122</v>
      </c>
      <c r="H4" s="12"/>
    </row>
    <row r="5" customFormat="false" ht="15" hidden="false" customHeight="false" outlineLevel="0" collapsed="false">
      <c r="A5" s="12" t="s">
        <v>123</v>
      </c>
      <c r="B5" s="12" t="s">
        <v>124</v>
      </c>
      <c r="C5" s="3" t="n">
        <f aca="false">COUNTIF(Children!$B$4:$B$500,$A5)</f>
        <v>1</v>
      </c>
      <c r="D5" s="3" t="n">
        <f aca="false">COUNTIFS(Children!$B$4:$B$500,$A5,Children!$F$4:$F$500,"Enrolled")</f>
        <v>1</v>
      </c>
      <c r="E5" s="12" t="s">
        <v>125</v>
      </c>
      <c r="F5" s="14"/>
      <c r="G5" s="15"/>
      <c r="H5" s="12"/>
    </row>
    <row r="6" customFormat="false" ht="15" hidden="false" customHeight="false" outlineLevel="0" collapsed="false">
      <c r="A6" s="12" t="s">
        <v>126</v>
      </c>
      <c r="B6" s="12" t="s">
        <v>127</v>
      </c>
      <c r="C6" s="3" t="n">
        <f aca="false">COUNTIF(Children!$B$4:$B$500,$A6)</f>
        <v>1</v>
      </c>
      <c r="D6" s="3" t="n">
        <f aca="false">COUNTIFS(Children!$B$4:$B$500,$A6,Children!$F$4:$F$500,"Enrolled")</f>
        <v>1</v>
      </c>
      <c r="E6" s="12" t="s">
        <v>128</v>
      </c>
      <c r="F6" s="14"/>
      <c r="G6" s="15" t="s">
        <v>129</v>
      </c>
      <c r="H6" s="12"/>
    </row>
    <row r="7" customFormat="false" ht="15" hidden="false" customHeight="false" outlineLevel="0" collapsed="false">
      <c r="A7" s="12" t="s">
        <v>130</v>
      </c>
      <c r="B7" s="12" t="s">
        <v>131</v>
      </c>
      <c r="C7" s="3" t="n">
        <f aca="false">COUNTIF(Children!$B$4:$B$500,$A7)</f>
        <v>1</v>
      </c>
      <c r="D7" s="3" t="n">
        <f aca="false">COUNTIFS(Children!$B$4:$B$500,$A7,Children!$F$4:$F$500,"Enrolled")</f>
        <v>1</v>
      </c>
      <c r="E7" s="12" t="s">
        <v>132</v>
      </c>
      <c r="F7" s="14"/>
      <c r="G7" s="15"/>
      <c r="H7" s="12"/>
    </row>
    <row r="8" customFormat="false" ht="15" hidden="false" customHeight="false" outlineLevel="0" collapsed="false">
      <c r="A8" s="12" t="s">
        <v>133</v>
      </c>
      <c r="B8" s="12" t="s">
        <v>134</v>
      </c>
      <c r="C8" s="3" t="n">
        <f aca="false">COUNTIF(Children!$B$4:$B$500,$A8)</f>
        <v>2</v>
      </c>
      <c r="D8" s="3" t="n">
        <f aca="false">COUNTIFS(Children!$B$4:$B$500,$A8,Children!$F$4:$F$500,"Enrolled")</f>
        <v>2</v>
      </c>
      <c r="E8" s="12" t="s">
        <v>135</v>
      </c>
      <c r="F8" s="14"/>
      <c r="G8" s="15" t="s">
        <v>136</v>
      </c>
      <c r="H8" s="12"/>
    </row>
    <row r="9" customFormat="false" ht="15" hidden="false" customHeight="false" outlineLevel="0" collapsed="false">
      <c r="A9" s="12" t="s">
        <v>137</v>
      </c>
      <c r="B9" s="12" t="s">
        <v>138</v>
      </c>
      <c r="C9" s="3" t="n">
        <f aca="false">COUNTIF(Children!$B$4:$B$500,$A9)</f>
        <v>2</v>
      </c>
      <c r="D9" s="3" t="n">
        <f aca="false">COUNTIFS(Children!$B$4:$B$500,$A9,Children!$F$4:$F$500,"Enrolled")</f>
        <v>2</v>
      </c>
      <c r="E9" s="12" t="s">
        <v>139</v>
      </c>
      <c r="F9" s="14"/>
      <c r="G9" s="15" t="s">
        <v>140</v>
      </c>
      <c r="H9" s="12"/>
    </row>
    <row r="10" customFormat="false" ht="15" hidden="false" customHeight="false" outlineLevel="0" collapsed="false">
      <c r="A10" s="12" t="s">
        <v>141</v>
      </c>
      <c r="B10" s="12" t="s">
        <v>142</v>
      </c>
      <c r="C10" s="3" t="n">
        <f aca="false">COUNTIF(Children!$B$4:$B$500,$A10)</f>
        <v>1</v>
      </c>
      <c r="D10" s="3" t="n">
        <f aca="false">COUNTIFS(Children!$B$4:$B$500,$A10,Children!$F$4:$F$500,"Enrolled")</f>
        <v>1</v>
      </c>
      <c r="E10" s="12" t="s">
        <v>143</v>
      </c>
      <c r="F10" s="14"/>
      <c r="G10" s="15"/>
      <c r="H10" s="12"/>
    </row>
    <row r="11" customFormat="false" ht="15" hidden="false" customHeight="false" outlineLevel="0" collapsed="false">
      <c r="A11" s="12" t="s">
        <v>144</v>
      </c>
      <c r="B11" s="12" t="s">
        <v>145</v>
      </c>
      <c r="C11" s="3" t="n">
        <f aca="false">COUNTIF(Children!$B$4:$B$500,$A11)</f>
        <v>2</v>
      </c>
      <c r="D11" s="3" t="n">
        <f aca="false">COUNTIFS(Children!$B$4:$B$500,$A11,Children!$F$4:$F$500,"Enrolled")</f>
        <v>2</v>
      </c>
      <c r="E11" s="12" t="s">
        <v>146</v>
      </c>
      <c r="F11" s="14"/>
      <c r="G11" s="15" t="s">
        <v>147</v>
      </c>
      <c r="H11" s="12" t="s">
        <v>148</v>
      </c>
    </row>
    <row r="12" customFormat="false" ht="15" hidden="false" customHeight="false" outlineLevel="0" collapsed="false">
      <c r="A12" s="12" t="s">
        <v>149</v>
      </c>
      <c r="B12" s="12" t="s">
        <v>150</v>
      </c>
      <c r="C12" s="3" t="n">
        <f aca="false">COUNTIF(Children!$B$4:$B$500,$A12)</f>
        <v>1</v>
      </c>
      <c r="D12" s="3" t="n">
        <f aca="false">COUNTIFS(Children!$B$4:$B$500,$A12,Children!$F$4:$F$500,"Enrolled")</f>
        <v>1</v>
      </c>
      <c r="E12" s="12" t="s">
        <v>151</v>
      </c>
      <c r="F12" s="14"/>
      <c r="G12" s="15"/>
      <c r="H12" s="12"/>
    </row>
    <row r="13" customFormat="false" ht="15" hidden="false" customHeight="false" outlineLevel="0" collapsed="false">
      <c r="A13" s="12" t="s">
        <v>152</v>
      </c>
      <c r="B13" s="12" t="s">
        <v>153</v>
      </c>
      <c r="C13" s="3" t="n">
        <f aca="false">COUNTIF(Children!$B$4:$B$500,$A13)</f>
        <v>2</v>
      </c>
      <c r="D13" s="3" t="n">
        <f aca="false">COUNTIFS(Children!$B$4:$B$500,$A13,Children!$F$4:$F$500,"Enrolled")</f>
        <v>2</v>
      </c>
      <c r="E13" s="12" t="s">
        <v>154</v>
      </c>
      <c r="F13" s="14"/>
      <c r="G13" s="15" t="s">
        <v>155</v>
      </c>
      <c r="H13" s="12"/>
    </row>
    <row r="14" customFormat="false" ht="15" hidden="false" customHeight="false" outlineLevel="0" collapsed="false">
      <c r="A14" s="12" t="s">
        <v>156</v>
      </c>
      <c r="B14" s="12" t="s">
        <v>157</v>
      </c>
      <c r="C14" s="3" t="n">
        <f aca="false">COUNTIF(Children!$B$4:$B$500,$A14)</f>
        <v>1</v>
      </c>
      <c r="D14" s="3" t="n">
        <f aca="false">COUNTIFS(Children!$B$4:$B$500,$A14,Children!$F$4:$F$500,"Enrolled")</f>
        <v>1</v>
      </c>
      <c r="E14" s="12" t="s">
        <v>158</v>
      </c>
      <c r="F14" s="14"/>
      <c r="G14" s="15"/>
      <c r="H14" s="12"/>
    </row>
    <row r="15" customFormat="false" ht="15" hidden="false" customHeight="false" outlineLevel="0" collapsed="false">
      <c r="A15" s="12" t="s">
        <v>159</v>
      </c>
      <c r="B15" s="12" t="s">
        <v>160</v>
      </c>
      <c r="C15" s="3" t="n">
        <f aca="false">COUNTIF(Children!$B$4:$B$500,$A15)</f>
        <v>2</v>
      </c>
      <c r="D15" s="3" t="n">
        <f aca="false">COUNTIFS(Children!$B$4:$B$500,$A15,Children!$F$4:$F$500,"Enrolled")</f>
        <v>2</v>
      </c>
      <c r="E15" s="12" t="s">
        <v>161</v>
      </c>
      <c r="F15" s="14"/>
      <c r="G15" s="15" t="s">
        <v>162</v>
      </c>
      <c r="H15" s="12"/>
    </row>
    <row r="16" customFormat="false" ht="15" hidden="false" customHeight="false" outlineLevel="0" collapsed="false">
      <c r="A16" s="12" t="s">
        <v>163</v>
      </c>
      <c r="B16" s="12" t="s">
        <v>164</v>
      </c>
      <c r="C16" s="3" t="n">
        <f aca="false">COUNTIF(Children!$B$4:$B$500,$A16)</f>
        <v>4</v>
      </c>
      <c r="D16" s="3" t="n">
        <f aca="false">COUNTIFS(Children!$B$4:$B$500,$A16,Children!$F$4:$F$500,"Enrolled")</f>
        <v>4</v>
      </c>
      <c r="E16" s="12" t="s">
        <v>165</v>
      </c>
      <c r="F16" s="14"/>
      <c r="G16" s="15"/>
      <c r="H16" s="12"/>
    </row>
    <row r="17" customFormat="false" ht="15" hidden="false" customHeight="false" outlineLevel="0" collapsed="false">
      <c r="A17" s="12" t="s">
        <v>166</v>
      </c>
      <c r="B17" s="12" t="s">
        <v>167</v>
      </c>
      <c r="C17" s="3" t="n">
        <f aca="false">COUNTIF(Children!$B$4:$B$500,$A17)</f>
        <v>3</v>
      </c>
      <c r="D17" s="3" t="n">
        <f aca="false">COUNTIFS(Children!$B$4:$B$500,$A17,Children!$F$4:$F$500,"Enrolled")</f>
        <v>3</v>
      </c>
      <c r="E17" s="12" t="s">
        <v>168</v>
      </c>
      <c r="F17" s="14"/>
      <c r="G17" s="15"/>
      <c r="H17" s="12"/>
    </row>
    <row r="18" customFormat="false" ht="15" hidden="false" customHeight="false" outlineLevel="0" collapsed="false">
      <c r="A18" s="12" t="s">
        <v>169</v>
      </c>
      <c r="B18" s="12" t="s">
        <v>170</v>
      </c>
      <c r="C18" s="3" t="n">
        <f aca="false">COUNTIF(Children!$B$4:$B$500,$A18)</f>
        <v>2</v>
      </c>
      <c r="D18" s="3" t="n">
        <f aca="false">COUNTIFS(Children!$B$4:$B$500,$A18,Children!$F$4:$F$500,"Enrolled")</f>
        <v>2</v>
      </c>
      <c r="E18" s="12" t="s">
        <v>171</v>
      </c>
      <c r="F18" s="14"/>
      <c r="G18" s="15" t="s">
        <v>172</v>
      </c>
      <c r="H18" s="12"/>
    </row>
    <row r="19" customFormat="false" ht="15" hidden="false" customHeight="false" outlineLevel="0" collapsed="false">
      <c r="A19" s="12" t="s">
        <v>173</v>
      </c>
      <c r="B19" s="12" t="s">
        <v>174</v>
      </c>
      <c r="C19" s="3" t="n">
        <f aca="false">COUNTIF(Children!$B$4:$B$500,$A19)</f>
        <v>1</v>
      </c>
      <c r="D19" s="3" t="n">
        <f aca="false">COUNTIFS(Children!$B$4:$B$500,$A19,Children!$F$4:$F$500,"Enrolled")</f>
        <v>0</v>
      </c>
      <c r="E19" s="12"/>
      <c r="F19" s="14"/>
      <c r="G19" s="15"/>
      <c r="H19" s="12"/>
    </row>
    <row r="20" customFormat="false" ht="15" hidden="false" customHeight="false" outlineLevel="0" collapsed="false">
      <c r="A20" s="12" t="s">
        <v>175</v>
      </c>
      <c r="B20" s="12" t="s">
        <v>174</v>
      </c>
      <c r="C20" s="3" t="n">
        <f aca="false">COUNTIF(Children!$B$4:$B$500,$A20)</f>
        <v>2</v>
      </c>
      <c r="D20" s="3" t="n">
        <f aca="false">COUNTIFS(Children!$B$4:$B$500,$A20,Children!$F$4:$F$500,"Enrolled")</f>
        <v>2</v>
      </c>
      <c r="E20" s="12" t="s">
        <v>176</v>
      </c>
      <c r="F20" s="14"/>
      <c r="G20" s="15"/>
      <c r="H20" s="12"/>
    </row>
    <row r="21" customFormat="false" ht="15" hidden="false" customHeight="false" outlineLevel="0" collapsed="false">
      <c r="A21" s="12" t="s">
        <v>177</v>
      </c>
      <c r="B21" s="12" t="s">
        <v>178</v>
      </c>
      <c r="C21" s="3" t="n">
        <f aca="false">COUNTIF(Children!$B$4:$B$500,$A21)</f>
        <v>1</v>
      </c>
      <c r="D21" s="3" t="n">
        <f aca="false">COUNTIFS(Children!$B$4:$B$500,$A21,Children!$F$4:$F$500,"Enrolled")</f>
        <v>1</v>
      </c>
      <c r="E21" s="12" t="s">
        <v>179</v>
      </c>
      <c r="F21" s="14"/>
      <c r="G21" s="15" t="s">
        <v>180</v>
      </c>
      <c r="H21" s="12"/>
    </row>
    <row r="22" customFormat="false" ht="15" hidden="false" customHeight="false" outlineLevel="0" collapsed="false">
      <c r="A22" s="12" t="s">
        <v>181</v>
      </c>
      <c r="B22" s="12" t="s">
        <v>182</v>
      </c>
      <c r="C22" s="3" t="n">
        <f aca="false">COUNTIF(Children!$B$4:$B$500,$A22)</f>
        <v>1</v>
      </c>
      <c r="D22" s="3" t="n">
        <f aca="false">COUNTIFS(Children!$B$4:$B$500,$A22,Children!$F$4:$F$500,"Enrolled")</f>
        <v>1</v>
      </c>
      <c r="E22" s="12" t="s">
        <v>183</v>
      </c>
      <c r="F22" s="14"/>
      <c r="G22" s="15" t="s">
        <v>184</v>
      </c>
      <c r="H22" s="12"/>
    </row>
    <row r="23" customFormat="false" ht="15" hidden="false" customHeight="false" outlineLevel="0" collapsed="false">
      <c r="A23" s="12" t="s">
        <v>185</v>
      </c>
      <c r="B23" s="12" t="s">
        <v>186</v>
      </c>
      <c r="C23" s="3" t="n">
        <f aca="false">COUNTIF(Children!$B$4:$B$500,$A23)</f>
        <v>3</v>
      </c>
      <c r="D23" s="3" t="n">
        <f aca="false">COUNTIFS(Children!$B$4:$B$500,$A23,Children!$F$4:$F$500,"Enrolled")</f>
        <v>3</v>
      </c>
      <c r="E23" s="12" t="s">
        <v>187</v>
      </c>
      <c r="F23" s="14"/>
      <c r="G23" s="15" t="s">
        <v>188</v>
      </c>
      <c r="H23" s="12"/>
    </row>
    <row r="24" customFormat="false" ht="15" hidden="false" customHeight="false" outlineLevel="0" collapsed="false">
      <c r="A24" s="12" t="s">
        <v>189</v>
      </c>
      <c r="B24" s="12" t="s">
        <v>190</v>
      </c>
      <c r="C24" s="3" t="n">
        <f aca="false">COUNTIF(Children!$B$4:$B$500,$A24)</f>
        <v>1</v>
      </c>
      <c r="D24" s="3" t="n">
        <f aca="false">COUNTIFS(Children!$B$4:$B$500,$A24,Children!$F$4:$F$500,"Enrolled")</f>
        <v>1</v>
      </c>
      <c r="E24" s="12" t="s">
        <v>191</v>
      </c>
      <c r="F24" s="14"/>
      <c r="G24" s="15"/>
      <c r="H24" s="12"/>
    </row>
    <row r="25" customFormat="false" ht="15" hidden="false" customHeight="false" outlineLevel="0" collapsed="false">
      <c r="A25" s="12" t="s">
        <v>192</v>
      </c>
      <c r="B25" s="12" t="s">
        <v>193</v>
      </c>
      <c r="C25" s="3" t="n">
        <f aca="false">COUNTIF(Children!$B$4:$B$500,$A25)</f>
        <v>1</v>
      </c>
      <c r="D25" s="3" t="n">
        <f aca="false">COUNTIFS(Children!$B$4:$B$500,$A25,Children!$F$4:$F$500,"Enrolled")</f>
        <v>1</v>
      </c>
      <c r="E25" s="12" t="s">
        <v>194</v>
      </c>
      <c r="F25" s="14"/>
      <c r="G25" s="15" t="s">
        <v>195</v>
      </c>
      <c r="H25" s="12"/>
    </row>
    <row r="26" customFormat="false" ht="15" hidden="false" customHeight="false" outlineLevel="0" collapsed="false">
      <c r="A26" s="12" t="s">
        <v>196</v>
      </c>
      <c r="B26" s="12" t="s">
        <v>197</v>
      </c>
      <c r="C26" s="3" t="n">
        <f aca="false">COUNTIF(Children!$B$4:$B$500,$A26)</f>
        <v>1</v>
      </c>
      <c r="D26" s="3" t="n">
        <f aca="false">COUNTIFS(Children!$B$4:$B$500,$A26,Children!$F$4:$F$500,"Enrolled")</f>
        <v>1</v>
      </c>
      <c r="E26" s="12" t="s">
        <v>198</v>
      </c>
      <c r="F26" s="14"/>
      <c r="G26" s="15" t="s">
        <v>199</v>
      </c>
      <c r="H26" s="12"/>
    </row>
    <row r="27" customFormat="false" ht="15" hidden="false" customHeight="false" outlineLevel="0" collapsed="false">
      <c r="A27" s="12" t="s">
        <v>200</v>
      </c>
      <c r="B27" s="12" t="s">
        <v>201</v>
      </c>
      <c r="C27" s="3" t="n">
        <f aca="false">COUNTIF(Children!$B$4:$B$500,$A27)</f>
        <v>1</v>
      </c>
      <c r="D27" s="3" t="n">
        <f aca="false">COUNTIFS(Children!$B$4:$B$500,$A27,Children!$F$4:$F$500,"Enrolled")</f>
        <v>1</v>
      </c>
      <c r="E27" s="12" t="s">
        <v>202</v>
      </c>
      <c r="F27" s="14"/>
      <c r="G27" s="15" t="s">
        <v>203</v>
      </c>
      <c r="H27" s="12"/>
    </row>
    <row r="28" customFormat="false" ht="15" hidden="false" customHeight="false" outlineLevel="0" collapsed="false">
      <c r="A28" s="12" t="s">
        <v>204</v>
      </c>
      <c r="B28" s="12" t="s">
        <v>205</v>
      </c>
      <c r="C28" s="3" t="n">
        <f aca="false">COUNTIF(Children!$B$4:$B$500,$A28)</f>
        <v>1</v>
      </c>
      <c r="D28" s="3" t="n">
        <f aca="false">COUNTIFS(Children!$B$4:$B$500,$A28,Children!$F$4:$F$500,"Enrolled")</f>
        <v>1</v>
      </c>
      <c r="E28" s="12" t="s">
        <v>206</v>
      </c>
      <c r="F28" s="14"/>
      <c r="G28" s="15"/>
      <c r="H28" s="12"/>
    </row>
    <row r="29" customFormat="false" ht="15" hidden="false" customHeight="false" outlineLevel="0" collapsed="false">
      <c r="A29" s="12" t="s">
        <v>207</v>
      </c>
      <c r="B29" s="12" t="s">
        <v>208</v>
      </c>
      <c r="C29" s="3" t="n">
        <f aca="false">COUNTIF(Children!$B$4:$B$500,$A29)</f>
        <v>1</v>
      </c>
      <c r="D29" s="3" t="n">
        <f aca="false">COUNTIFS(Children!$B$4:$B$500,$A29,Children!$F$4:$F$500,"Enrolled")</f>
        <v>1</v>
      </c>
      <c r="E29" s="12" t="s">
        <v>209</v>
      </c>
      <c r="F29" s="14"/>
      <c r="G29" s="15" t="s">
        <v>210</v>
      </c>
      <c r="H29" s="12"/>
    </row>
    <row r="30" customFormat="false" ht="15" hidden="false" customHeight="false" outlineLevel="0" collapsed="false">
      <c r="A30" s="12" t="s">
        <v>211</v>
      </c>
      <c r="B30" s="12" t="s">
        <v>212</v>
      </c>
      <c r="C30" s="3" t="n">
        <f aca="false">COUNTIF(Children!$B$4:$B$500,$A30)</f>
        <v>1</v>
      </c>
      <c r="D30" s="3" t="n">
        <f aca="false">COUNTIFS(Children!$B$4:$B$500,$A30,Children!$F$4:$F$500,"Enrolled")</f>
        <v>1</v>
      </c>
      <c r="E30" s="12" t="s">
        <v>213</v>
      </c>
      <c r="F30" s="14"/>
      <c r="G30" s="15"/>
      <c r="H30" s="12"/>
    </row>
    <row r="31" customFormat="false" ht="15" hidden="false" customHeight="false" outlineLevel="0" collapsed="false">
      <c r="A31" s="12" t="s">
        <v>214</v>
      </c>
      <c r="B31" s="12" t="s">
        <v>215</v>
      </c>
      <c r="C31" s="3" t="n">
        <f aca="false">COUNTIF(Children!$B$4:$B$500,$A31)</f>
        <v>3</v>
      </c>
      <c r="D31" s="3" t="n">
        <f aca="false">COUNTIFS(Children!$B$4:$B$500,$A31,Children!$F$4:$F$500,"Enrolled")</f>
        <v>3</v>
      </c>
      <c r="E31" s="12" t="s">
        <v>216</v>
      </c>
      <c r="F31" s="14"/>
      <c r="G31" s="15"/>
      <c r="H31" s="12"/>
    </row>
    <row r="32" customFormat="false" ht="15" hidden="false" customHeight="false" outlineLevel="0" collapsed="false">
      <c r="A32" s="12" t="s">
        <v>217</v>
      </c>
      <c r="B32" s="12" t="s">
        <v>218</v>
      </c>
      <c r="C32" s="3" t="n">
        <f aca="false">COUNTIF(Children!$B$4:$B$500,$A32)</f>
        <v>1</v>
      </c>
      <c r="D32" s="3" t="n">
        <f aca="false">COUNTIFS(Children!$B$4:$B$500,$A32,Children!$F$4:$F$500,"Enrolled")</f>
        <v>1</v>
      </c>
      <c r="E32" s="12" t="s">
        <v>219</v>
      </c>
      <c r="F32" s="14"/>
      <c r="G32" s="15"/>
      <c r="H32" s="12"/>
    </row>
    <row r="33" customFormat="false" ht="15" hidden="false" customHeight="false" outlineLevel="0" collapsed="false">
      <c r="A33" s="12" t="s">
        <v>220</v>
      </c>
      <c r="B33" s="12" t="s">
        <v>221</v>
      </c>
      <c r="C33" s="3" t="n">
        <f aca="false">COUNTIF(Children!$B$4:$B$500,$A33)</f>
        <v>4</v>
      </c>
      <c r="D33" s="3" t="n">
        <f aca="false">COUNTIFS(Children!$B$4:$B$500,$A33,Children!$F$4:$F$500,"Enrolled")</f>
        <v>4</v>
      </c>
      <c r="E33" s="12" t="s">
        <v>222</v>
      </c>
      <c r="F33" s="14"/>
      <c r="G33" s="15" t="s">
        <v>223</v>
      </c>
      <c r="H33" s="12"/>
    </row>
    <row r="34" customFormat="false" ht="15" hidden="false" customHeight="false" outlineLevel="0" collapsed="false">
      <c r="A34" s="12" t="s">
        <v>224</v>
      </c>
      <c r="B34" s="12" t="s">
        <v>225</v>
      </c>
      <c r="C34" s="3" t="n">
        <f aca="false">COUNTIF(Children!$B$4:$B$500,$A34)</f>
        <v>1</v>
      </c>
      <c r="D34" s="3" t="n">
        <f aca="false">COUNTIFS(Children!$B$4:$B$500,$A34,Children!$F$4:$F$500,"Enrolled")</f>
        <v>1</v>
      </c>
      <c r="E34" s="12" t="s">
        <v>226</v>
      </c>
      <c r="F34" s="14"/>
      <c r="G34" s="15"/>
      <c r="H34" s="12"/>
    </row>
    <row r="35" customFormat="false" ht="15" hidden="false" customHeight="false" outlineLevel="0" collapsed="false">
      <c r="A35" s="12" t="s">
        <v>227</v>
      </c>
      <c r="B35" s="12" t="s">
        <v>228</v>
      </c>
      <c r="C35" s="3" t="n">
        <f aca="false">COUNTIF(Children!$B$4:$B$500,$A35)</f>
        <v>1</v>
      </c>
      <c r="D35" s="3" t="n">
        <f aca="false">COUNTIFS(Children!$B$4:$B$500,$A35,Children!$F$4:$F$500,"Enrolled")</f>
        <v>1</v>
      </c>
      <c r="E35" s="12" t="s">
        <v>229</v>
      </c>
      <c r="F35" s="14"/>
      <c r="G35" s="15"/>
      <c r="H35" s="12"/>
    </row>
    <row r="36" customFormat="false" ht="15" hidden="false" customHeight="false" outlineLevel="0" collapsed="false">
      <c r="A36" s="12" t="s">
        <v>230</v>
      </c>
      <c r="B36" s="12" t="s">
        <v>231</v>
      </c>
      <c r="C36" s="3" t="n">
        <f aca="false">COUNTIF(Children!$B$4:$B$500,$A36)</f>
        <v>1</v>
      </c>
      <c r="D36" s="3" t="n">
        <f aca="false">COUNTIFS(Children!$B$4:$B$500,$A36,Children!$F$4:$F$500,"Enrolled")</f>
        <v>1</v>
      </c>
      <c r="E36" s="12" t="s">
        <v>232</v>
      </c>
      <c r="F36" s="14"/>
      <c r="G36" s="15" t="s">
        <v>233</v>
      </c>
      <c r="H36" s="12"/>
    </row>
    <row r="37" customFormat="false" ht="15" hidden="false" customHeight="false" outlineLevel="0" collapsed="false">
      <c r="A37" s="12" t="s">
        <v>234</v>
      </c>
      <c r="B37" s="12" t="s">
        <v>235</v>
      </c>
      <c r="C37" s="3" t="n">
        <f aca="false">COUNTIF(Children!$B$4:$B$500,$A37)</f>
        <v>1</v>
      </c>
      <c r="D37" s="3" t="n">
        <f aca="false">COUNTIFS(Children!$B$4:$B$500,$A37,Children!$F$4:$F$500,"Enrolled")</f>
        <v>1</v>
      </c>
      <c r="E37" s="12" t="s">
        <v>236</v>
      </c>
      <c r="F37" s="14"/>
      <c r="G37" s="15" t="s">
        <v>237</v>
      </c>
      <c r="H37" s="12"/>
    </row>
    <row r="38" customFormat="false" ht="15" hidden="false" customHeight="false" outlineLevel="0" collapsed="false">
      <c r="A38" s="12" t="s">
        <v>238</v>
      </c>
      <c r="B38" s="12" t="s">
        <v>239</v>
      </c>
      <c r="C38" s="3" t="n">
        <f aca="false">COUNTIF(Children!$B$4:$B$500,$A38)</f>
        <v>3</v>
      </c>
      <c r="D38" s="3" t="n">
        <f aca="false">COUNTIFS(Children!$B$4:$B$500,$A38,Children!$F$4:$F$500,"Enrolled")</f>
        <v>3</v>
      </c>
      <c r="E38" s="12" t="s">
        <v>240</v>
      </c>
      <c r="F38" s="14"/>
      <c r="G38" s="15" t="s">
        <v>241</v>
      </c>
      <c r="H38" s="12"/>
    </row>
    <row r="39" customFormat="false" ht="15" hidden="false" customHeight="false" outlineLevel="0" collapsed="false">
      <c r="A39" s="12" t="s">
        <v>242</v>
      </c>
      <c r="B39" s="12" t="s">
        <v>243</v>
      </c>
      <c r="C39" s="3" t="n">
        <f aca="false">COUNTIF(Children!$B$4:$B$500,$A39)</f>
        <v>3</v>
      </c>
      <c r="D39" s="3" t="n">
        <f aca="false">COUNTIFS(Children!$B$4:$B$500,$A39,Children!$F$4:$F$500,"Enrolled")</f>
        <v>3</v>
      </c>
      <c r="E39" s="12" t="s">
        <v>244</v>
      </c>
      <c r="F39" s="14"/>
      <c r="G39" s="15" t="s">
        <v>245</v>
      </c>
      <c r="H39" s="12"/>
    </row>
    <row r="40" customFormat="false" ht="15" hidden="false" customHeight="false" outlineLevel="0" collapsed="false">
      <c r="A40" s="12" t="s">
        <v>246</v>
      </c>
      <c r="B40" s="12" t="s">
        <v>247</v>
      </c>
      <c r="C40" s="3" t="n">
        <f aca="false">COUNTIF(Children!$B$4:$B$500,$A40)</f>
        <v>2</v>
      </c>
      <c r="D40" s="3" t="n">
        <f aca="false">COUNTIFS(Children!$B$4:$B$500,$A40,Children!$F$4:$F$500,"Enrolled")</f>
        <v>2</v>
      </c>
      <c r="E40" s="12" t="s">
        <v>248</v>
      </c>
      <c r="F40" s="14"/>
      <c r="G40" s="15" t="s">
        <v>249</v>
      </c>
      <c r="H40" s="12"/>
    </row>
    <row r="41" customFormat="false" ht="15" hidden="false" customHeight="false" outlineLevel="0" collapsed="false">
      <c r="A41" s="12" t="s">
        <v>250</v>
      </c>
      <c r="B41" s="12" t="s">
        <v>251</v>
      </c>
      <c r="C41" s="3" t="n">
        <f aca="false">COUNTIF(Children!$B$4:$B$500,$A41)</f>
        <v>2</v>
      </c>
      <c r="D41" s="3" t="n">
        <f aca="false">COUNTIFS(Children!$B$4:$B$500,$A41,Children!$F$4:$F$500,"Enrolled")</f>
        <v>2</v>
      </c>
      <c r="E41" s="12" t="s">
        <v>252</v>
      </c>
      <c r="F41" s="14"/>
      <c r="G41" s="15"/>
      <c r="H41" s="12"/>
    </row>
    <row r="42" customFormat="false" ht="15" hidden="false" customHeight="false" outlineLevel="0" collapsed="false">
      <c r="A42" s="12" t="s">
        <v>253</v>
      </c>
      <c r="B42" s="12" t="s">
        <v>254</v>
      </c>
      <c r="C42" s="3" t="n">
        <f aca="false">COUNTIF(Children!$B$4:$B$500,$A42)</f>
        <v>2</v>
      </c>
      <c r="D42" s="3" t="n">
        <f aca="false">COUNTIFS(Children!$B$4:$B$500,$A42,Children!$F$4:$F$500,"Enrolled")</f>
        <v>2</v>
      </c>
      <c r="E42" s="12" t="s">
        <v>255</v>
      </c>
      <c r="F42" s="14"/>
      <c r="G42" s="15" t="s">
        <v>256</v>
      </c>
      <c r="H42" s="12"/>
    </row>
    <row r="43" customFormat="false" ht="15" hidden="false" customHeight="false" outlineLevel="0" collapsed="false">
      <c r="A43" s="12" t="s">
        <v>257</v>
      </c>
      <c r="B43" s="12" t="s">
        <v>258</v>
      </c>
      <c r="C43" s="3" t="n">
        <f aca="false">COUNTIF(Children!$B$4:$B$500,$A43)</f>
        <v>1</v>
      </c>
      <c r="D43" s="3" t="n">
        <f aca="false">COUNTIFS(Children!$B$4:$B$500,$A43,Children!$F$4:$F$500,"Enrolled")</f>
        <v>1</v>
      </c>
      <c r="E43" s="12" t="s">
        <v>259</v>
      </c>
      <c r="F43" s="14"/>
      <c r="G43" s="15" t="s">
        <v>260</v>
      </c>
      <c r="H43" s="12"/>
    </row>
    <row r="44" customFormat="false" ht="15" hidden="false" customHeight="false" outlineLevel="0" collapsed="false">
      <c r="A44" s="12" t="s">
        <v>261</v>
      </c>
      <c r="B44" s="12" t="s">
        <v>262</v>
      </c>
      <c r="C44" s="3" t="n">
        <f aca="false">COUNTIF(Children!$B$4:$B$500,$A44)</f>
        <v>1</v>
      </c>
      <c r="D44" s="3" t="n">
        <f aca="false">COUNTIFS(Children!$B$4:$B$500,$A44,Children!$F$4:$F$500,"Enrolled")</f>
        <v>1</v>
      </c>
      <c r="E44" s="12" t="s">
        <v>263</v>
      </c>
      <c r="F44" s="14"/>
      <c r="G44" s="15" t="s">
        <v>264</v>
      </c>
      <c r="H44" s="12"/>
    </row>
    <row r="45" customFormat="false" ht="15" hidden="false" customHeight="false" outlineLevel="0" collapsed="false">
      <c r="A45" s="12" t="s">
        <v>265</v>
      </c>
      <c r="B45" s="12" t="s">
        <v>266</v>
      </c>
      <c r="C45" s="3" t="n">
        <f aca="false">COUNTIF(Children!$B$4:$B$500,$A45)</f>
        <v>2</v>
      </c>
      <c r="D45" s="3" t="n">
        <f aca="false">COUNTIFS(Children!$B$4:$B$500,$A45,Children!$F$4:$F$500,"Enrolled")</f>
        <v>2</v>
      </c>
      <c r="E45" s="12" t="s">
        <v>267</v>
      </c>
      <c r="F45" s="14"/>
      <c r="G45" s="15"/>
      <c r="H45" s="12"/>
    </row>
    <row r="46" customFormat="false" ht="15" hidden="false" customHeight="false" outlineLevel="0" collapsed="false">
      <c r="A46" s="12" t="s">
        <v>268</v>
      </c>
      <c r="B46" s="12" t="s">
        <v>269</v>
      </c>
      <c r="C46" s="3" t="n">
        <f aca="false">COUNTIF(Children!$B$4:$B$500,$A46)</f>
        <v>1</v>
      </c>
      <c r="D46" s="3" t="n">
        <f aca="false">COUNTIFS(Children!$B$4:$B$500,$A46,Children!$F$4:$F$500,"Enrolled")</f>
        <v>1</v>
      </c>
      <c r="E46" s="12" t="s">
        <v>270</v>
      </c>
      <c r="F46" s="14"/>
      <c r="G46" s="15"/>
      <c r="H46" s="12"/>
    </row>
    <row r="47" customFormat="false" ht="15" hidden="false" customHeight="false" outlineLevel="0" collapsed="false">
      <c r="A47" s="12" t="s">
        <v>271</v>
      </c>
      <c r="B47" s="12" t="s">
        <v>272</v>
      </c>
      <c r="C47" s="3" t="n">
        <f aca="false">COUNTIF(Children!$B$4:$B$500,$A47)</f>
        <v>1</v>
      </c>
      <c r="D47" s="3" t="n">
        <f aca="false">COUNTIFS(Children!$B$4:$B$500,$A47,Children!$F$4:$F$500,"Enrolled")</f>
        <v>1</v>
      </c>
      <c r="E47" s="12" t="s">
        <v>273</v>
      </c>
      <c r="F47" s="14"/>
      <c r="G47" s="15"/>
      <c r="H47" s="12"/>
    </row>
    <row r="48" customFormat="false" ht="15" hidden="false" customHeight="false" outlineLevel="0" collapsed="false">
      <c r="A48" s="12" t="s">
        <v>274</v>
      </c>
      <c r="B48" s="12" t="s">
        <v>275</v>
      </c>
      <c r="C48" s="3" t="n">
        <f aca="false">COUNTIF(Children!$B$4:$B$500,$A48)</f>
        <v>1</v>
      </c>
      <c r="D48" s="3" t="n">
        <f aca="false">COUNTIFS(Children!$B$4:$B$500,$A48,Children!$F$4:$F$500,"Enrolled")</f>
        <v>1</v>
      </c>
      <c r="E48" s="12" t="s">
        <v>146</v>
      </c>
      <c r="F48" s="14"/>
      <c r="G48" s="15"/>
      <c r="H48" s="12" t="s">
        <v>148</v>
      </c>
    </row>
    <row r="49" customFormat="false" ht="15" hidden="false" customHeight="false" outlineLevel="0" collapsed="false">
      <c r="A49" s="12" t="s">
        <v>276</v>
      </c>
      <c r="B49" s="12" t="s">
        <v>277</v>
      </c>
      <c r="C49" s="3" t="n">
        <f aca="false">COUNTIF(Children!$B$4:$B$500,$A49)</f>
        <v>2</v>
      </c>
      <c r="D49" s="3" t="n">
        <f aca="false">COUNTIFS(Children!$B$4:$B$500,$A49,Children!$F$4:$F$500,"Enrolled")</f>
        <v>2</v>
      </c>
      <c r="E49" s="12" t="s">
        <v>278</v>
      </c>
      <c r="F49" s="14"/>
      <c r="G49" s="15"/>
      <c r="H49" s="12"/>
    </row>
    <row r="50" customFormat="false" ht="15" hidden="false" customHeight="false" outlineLevel="0" collapsed="false">
      <c r="A50" s="12" t="s">
        <v>279</v>
      </c>
      <c r="B50" s="12" t="s">
        <v>280</v>
      </c>
      <c r="C50" s="3" t="n">
        <f aca="false">COUNTIF(Children!$B$4:$B$500,$A50)</f>
        <v>2</v>
      </c>
      <c r="D50" s="3" t="n">
        <f aca="false">COUNTIFS(Children!$B$4:$B$500,$A50,Children!$F$4:$F$500,"Enrolled")</f>
        <v>2</v>
      </c>
      <c r="E50" s="12" t="s">
        <v>281</v>
      </c>
      <c r="F50" s="14"/>
      <c r="G50" s="15"/>
      <c r="H50" s="12"/>
    </row>
    <row r="51" customFormat="false" ht="15" hidden="false" customHeight="false" outlineLevel="0" collapsed="false">
      <c r="A51" s="12" t="s">
        <v>282</v>
      </c>
      <c r="B51" s="12" t="s">
        <v>283</v>
      </c>
      <c r="C51" s="3" t="n">
        <f aca="false">COUNTIF(Children!$B$4:$B$500,$A51)</f>
        <v>1</v>
      </c>
      <c r="D51" s="3" t="n">
        <f aca="false">COUNTIFS(Children!$B$4:$B$500,$A51,Children!$F$4:$F$500,"Enrolled")</f>
        <v>1</v>
      </c>
      <c r="E51" s="12" t="s">
        <v>284</v>
      </c>
      <c r="F51" s="14"/>
      <c r="G51" s="15"/>
      <c r="H51" s="12"/>
    </row>
    <row r="52" customFormat="false" ht="15" hidden="false" customHeight="false" outlineLevel="0" collapsed="false">
      <c r="A52" s="12" t="s">
        <v>285</v>
      </c>
      <c r="B52" s="12" t="s">
        <v>286</v>
      </c>
      <c r="C52" s="3" t="n">
        <f aca="false">COUNTIF(Children!$B$4:$B$500,$A52)</f>
        <v>1</v>
      </c>
      <c r="D52" s="3" t="n">
        <f aca="false">COUNTIFS(Children!$B$4:$B$500,$A52,Children!$F$4:$F$500,"Enrolled")</f>
        <v>1</v>
      </c>
      <c r="E52" s="12" t="s">
        <v>287</v>
      </c>
      <c r="F52" s="14"/>
      <c r="G52" s="15"/>
      <c r="H52" s="12"/>
    </row>
    <row r="53" customFormat="false" ht="15" hidden="false" customHeight="false" outlineLevel="0" collapsed="false">
      <c r="A53" s="12" t="s">
        <v>288</v>
      </c>
      <c r="B53" s="12" t="s">
        <v>289</v>
      </c>
      <c r="C53" s="3" t="n">
        <f aca="false">COUNTIF(Children!$B$4:$B$500,$A53)</f>
        <v>2</v>
      </c>
      <c r="D53" s="3" t="n">
        <f aca="false">COUNTIFS(Children!$B$4:$B$500,$A53,Children!$F$4:$F$500,"Enrolled")</f>
        <v>2</v>
      </c>
      <c r="E53" s="12" t="s">
        <v>290</v>
      </c>
      <c r="F53" s="14"/>
      <c r="G53" s="15" t="s">
        <v>291</v>
      </c>
      <c r="H53" s="12"/>
    </row>
    <row r="54" customFormat="false" ht="15" hidden="false" customHeight="false" outlineLevel="0" collapsed="false">
      <c r="A54" s="12" t="s">
        <v>292</v>
      </c>
      <c r="B54" s="12" t="s">
        <v>293</v>
      </c>
      <c r="C54" s="3" t="n">
        <f aca="false">COUNTIF(Children!$B$4:$B$500,$A54)</f>
        <v>2</v>
      </c>
      <c r="D54" s="3" t="n">
        <f aca="false">COUNTIFS(Children!$B$4:$B$500,$A54,Children!$F$4:$F$500,"Enrolled")</f>
        <v>2</v>
      </c>
      <c r="E54" s="12" t="s">
        <v>294</v>
      </c>
      <c r="F54" s="14"/>
      <c r="G54" s="15" t="s">
        <v>295</v>
      </c>
      <c r="H54" s="12"/>
    </row>
    <row r="55" customFormat="false" ht="15" hidden="false" customHeight="false" outlineLevel="0" collapsed="false">
      <c r="A55" s="12" t="s">
        <v>296</v>
      </c>
      <c r="B55" s="12" t="s">
        <v>297</v>
      </c>
      <c r="C55" s="3" t="n">
        <f aca="false">COUNTIF(Children!$B$4:$B$500,$A55)</f>
        <v>1</v>
      </c>
      <c r="D55" s="3" t="n">
        <f aca="false">COUNTIFS(Children!$B$4:$B$500,$A55,Children!$F$4:$F$500,"Enrolled")</f>
        <v>1</v>
      </c>
      <c r="E55" s="12" t="s">
        <v>298</v>
      </c>
      <c r="F55" s="14"/>
      <c r="G55" s="15"/>
      <c r="H55" s="12"/>
    </row>
    <row r="56" customFormat="false" ht="15" hidden="false" customHeight="false" outlineLevel="0" collapsed="false">
      <c r="A56" s="12" t="s">
        <v>299</v>
      </c>
      <c r="B56" s="12" t="s">
        <v>300</v>
      </c>
      <c r="C56" s="3" t="n">
        <f aca="false">COUNTIF(Children!$B$4:$B$500,$A56)</f>
        <v>2</v>
      </c>
      <c r="D56" s="3" t="n">
        <f aca="false">COUNTIFS(Children!$B$4:$B$500,$A56,Children!$F$4:$F$500,"Enrolled")</f>
        <v>2</v>
      </c>
      <c r="E56" s="12" t="s">
        <v>301</v>
      </c>
      <c r="F56" s="14"/>
      <c r="G56" s="15"/>
      <c r="H56" s="12"/>
    </row>
    <row r="57" customFormat="false" ht="15" hidden="false" customHeight="false" outlineLevel="0" collapsed="false">
      <c r="A57" s="12" t="s">
        <v>302</v>
      </c>
      <c r="B57" s="12" t="s">
        <v>303</v>
      </c>
      <c r="C57" s="3" t="n">
        <f aca="false">COUNTIF(Children!$B$4:$B$500,$A57)</f>
        <v>1</v>
      </c>
      <c r="D57" s="3" t="n">
        <f aca="false">COUNTIFS(Children!$B$4:$B$500,$A57,Children!$F$4:$F$500,"Enrolled")</f>
        <v>1</v>
      </c>
      <c r="E57" s="12" t="s">
        <v>304</v>
      </c>
      <c r="F57" s="14"/>
      <c r="G57" s="15" t="s">
        <v>305</v>
      </c>
      <c r="H57" s="12"/>
    </row>
    <row r="58" customFormat="false" ht="15" hidden="false" customHeight="false" outlineLevel="0" collapsed="false">
      <c r="A58" s="12" t="s">
        <v>306</v>
      </c>
      <c r="B58" s="12" t="s">
        <v>307</v>
      </c>
      <c r="C58" s="3" t="n">
        <f aca="false">COUNTIF(Children!$B$4:$B$500,$A58)</f>
        <v>1</v>
      </c>
      <c r="D58" s="3" t="n">
        <f aca="false">COUNTIFS(Children!$B$4:$B$500,$A58,Children!$F$4:$F$500,"Enrolled")</f>
        <v>1</v>
      </c>
      <c r="E58" s="12" t="s">
        <v>308</v>
      </c>
      <c r="F58" s="14"/>
      <c r="G58" s="15"/>
      <c r="H58" s="12"/>
    </row>
    <row r="59" customFormat="false" ht="15" hidden="false" customHeight="false" outlineLevel="0" collapsed="false">
      <c r="A59" s="12" t="s">
        <v>309</v>
      </c>
      <c r="B59" s="12" t="s">
        <v>310</v>
      </c>
      <c r="C59" s="3" t="n">
        <f aca="false">COUNTIF(Children!$B$4:$B$500,$A59)</f>
        <v>1</v>
      </c>
      <c r="D59" s="3" t="n">
        <f aca="false">COUNTIFS(Children!$B$4:$B$500,$A59,Children!$F$4:$F$500,"Enrolled")</f>
        <v>1</v>
      </c>
      <c r="E59" s="12" t="s">
        <v>311</v>
      </c>
      <c r="F59" s="14"/>
      <c r="G59" s="15"/>
      <c r="H59" s="12"/>
    </row>
    <row r="60" customFormat="false" ht="15" hidden="false" customHeight="false" outlineLevel="0" collapsed="false">
      <c r="A60" s="12" t="s">
        <v>312</v>
      </c>
      <c r="B60" s="12" t="s">
        <v>313</v>
      </c>
      <c r="C60" s="3" t="n">
        <f aca="false">COUNTIF(Children!$B$4:$B$500,$A60)</f>
        <v>1</v>
      </c>
      <c r="D60" s="3" t="n">
        <f aca="false">COUNTIFS(Children!$B$4:$B$500,$A60,Children!$F$4:$F$500,"Enrolled")</f>
        <v>1</v>
      </c>
      <c r="E60" s="12" t="s">
        <v>314</v>
      </c>
      <c r="F60" s="14"/>
      <c r="G60" s="15" t="s">
        <v>315</v>
      </c>
      <c r="H60" s="12"/>
    </row>
    <row r="61" customFormat="false" ht="15" hidden="false" customHeight="false" outlineLevel="0" collapsed="false">
      <c r="A61" s="12" t="s">
        <v>316</v>
      </c>
      <c r="B61" s="12" t="s">
        <v>317</v>
      </c>
      <c r="C61" s="3" t="n">
        <f aca="false">COUNTIF(Children!$B$4:$B$500,$A61)</f>
        <v>1</v>
      </c>
      <c r="D61" s="3" t="n">
        <f aca="false">COUNTIFS(Children!$B$4:$B$500,$A61,Children!$F$4:$F$500,"Enrolled")</f>
        <v>1</v>
      </c>
      <c r="E61" s="12" t="s">
        <v>318</v>
      </c>
      <c r="F61" s="14"/>
      <c r="G61" s="15"/>
      <c r="H61" s="12"/>
    </row>
    <row r="62" customFormat="false" ht="15" hidden="false" customHeight="false" outlineLevel="0" collapsed="false">
      <c r="A62" s="12" t="s">
        <v>319</v>
      </c>
      <c r="B62" s="12" t="s">
        <v>320</v>
      </c>
      <c r="C62" s="3" t="n">
        <f aca="false">COUNTIF(Children!$B$4:$B$500,$A62)</f>
        <v>1</v>
      </c>
      <c r="D62" s="3" t="n">
        <f aca="false">COUNTIFS(Children!$B$4:$B$500,$A62,Children!$F$4:$F$500,"Enrolled")</f>
        <v>1</v>
      </c>
      <c r="E62" s="12" t="s">
        <v>321</v>
      </c>
      <c r="F62" s="14"/>
      <c r="G62" s="15"/>
      <c r="H62" s="12"/>
    </row>
    <row r="63" customFormat="false" ht="15" hidden="false" customHeight="false" outlineLevel="0" collapsed="false">
      <c r="A63" s="12" t="s">
        <v>322</v>
      </c>
      <c r="B63" s="12" t="s">
        <v>323</v>
      </c>
      <c r="C63" s="3" t="n">
        <f aca="false">COUNTIF(Children!$B$4:$B$500,$A63)</f>
        <v>2</v>
      </c>
      <c r="D63" s="3" t="n">
        <f aca="false">COUNTIFS(Children!$B$4:$B$500,$A63,Children!$F$4:$F$500,"Enrolled")</f>
        <v>2</v>
      </c>
      <c r="E63" s="12" t="s">
        <v>324</v>
      </c>
      <c r="F63" s="14"/>
      <c r="G63" s="15" t="s">
        <v>325</v>
      </c>
      <c r="H63" s="12"/>
    </row>
    <row r="64" customFormat="false" ht="15" hidden="false" customHeight="false" outlineLevel="0" collapsed="false">
      <c r="A64" s="12" t="s">
        <v>326</v>
      </c>
      <c r="B64" s="12" t="s">
        <v>327</v>
      </c>
      <c r="C64" s="3" t="n">
        <f aca="false">COUNTIF(Children!$B$4:$B$500,$A64)</f>
        <v>1</v>
      </c>
      <c r="D64" s="3" t="n">
        <f aca="false">COUNTIFS(Children!$B$4:$B$500,$A64,Children!$F$4:$F$500,"Enrolled")</f>
        <v>1</v>
      </c>
      <c r="E64" s="12" t="s">
        <v>328</v>
      </c>
      <c r="F64" s="14"/>
      <c r="G64" s="15"/>
      <c r="H64" s="12"/>
    </row>
  </sheetData>
  <autoFilter ref="A3:H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4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9" min="18" style="0" width="11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55"/>
  </cols>
  <sheetData>
    <row r="1" customFormat="false" ht="16.15" hidden="false" customHeight="false" outlineLevel="0" collapsed="false">
      <c r="A1" s="1" t="s">
        <v>329</v>
      </c>
    </row>
    <row r="3" customFormat="false" ht="46.25" hidden="false" customHeight="false" outlineLevel="0" collapsed="false">
      <c r="A3" s="10" t="s">
        <v>330</v>
      </c>
      <c r="B3" s="10" t="s">
        <v>112</v>
      </c>
      <c r="C3" s="10" t="s">
        <v>331</v>
      </c>
      <c r="D3" s="10" t="s">
        <v>332</v>
      </c>
      <c r="E3" s="10" t="s">
        <v>333</v>
      </c>
      <c r="F3" s="10" t="s">
        <v>334</v>
      </c>
      <c r="G3" s="10" t="s">
        <v>335</v>
      </c>
      <c r="H3" s="10" t="s">
        <v>336</v>
      </c>
      <c r="I3" s="10" t="s">
        <v>337</v>
      </c>
      <c r="J3" s="10" t="s">
        <v>338</v>
      </c>
      <c r="K3" s="10" t="s">
        <v>339</v>
      </c>
      <c r="L3" s="10" t="s">
        <v>340</v>
      </c>
      <c r="M3" s="10" t="s">
        <v>341</v>
      </c>
      <c r="N3" s="10" t="s">
        <v>342</v>
      </c>
      <c r="O3" s="10" t="s">
        <v>343</v>
      </c>
      <c r="P3" s="10" t="s">
        <v>344</v>
      </c>
      <c r="Q3" s="10" t="s">
        <v>345</v>
      </c>
      <c r="R3" s="10" t="s">
        <v>346</v>
      </c>
      <c r="S3" s="10" t="s">
        <v>347</v>
      </c>
      <c r="T3" s="10" t="s">
        <v>348</v>
      </c>
      <c r="U3" s="10" t="s">
        <v>349</v>
      </c>
      <c r="V3" s="10" t="s">
        <v>100</v>
      </c>
    </row>
    <row r="4" customFormat="false" ht="15" hidden="false" customHeight="false" outlineLevel="0" collapsed="false">
      <c r="A4" s="12" t="s">
        <v>350</v>
      </c>
      <c r="B4" s="12" t="s">
        <v>119</v>
      </c>
      <c r="C4" s="12" t="s">
        <v>120</v>
      </c>
      <c r="D4" s="12" t="s">
        <v>351</v>
      </c>
      <c r="E4" s="12" t="s">
        <v>352</v>
      </c>
      <c r="F4" s="12" t="s">
        <v>353</v>
      </c>
      <c r="G4" s="12" t="s">
        <v>106</v>
      </c>
      <c r="H4" s="12" t="s">
        <v>121</v>
      </c>
      <c r="I4" s="16" t="n">
        <f aca="false">IF($J4&lt;&gt;"",$J4,IF($E4="Wednesday",INDEX(Terms!$D$4:$D$5,MATCH($G4,Terms!$A$4:$A$5,0)),INDEX(Terms!$C$4:$C$5,MATCH($G4,Terms!$A$4:$A$5,0))))</f>
        <v>21</v>
      </c>
      <c r="J4" s="17"/>
      <c r="K4" s="18" t="n">
        <f aca="false">COUNTIFS($B$4:$B$500,$B4,$F$4:$F$500,"Enrolled")</f>
        <v>1</v>
      </c>
      <c r="L4" s="19" t="n">
        <f aca="false">IF($F4&lt;&gt;"Enrolled",0,IF($K4=0,0,IF($E4="Wednesday",Rates!$C$9,INDEX(Rates!$C$4:$C$7,MIN($K4,4))/$K4)))</f>
        <v>19.5</v>
      </c>
      <c r="M4" s="19" t="n">
        <f aca="false">ROUND($L4*$I4,2)</f>
        <v>409.5</v>
      </c>
      <c r="N4" s="11" t="n">
        <v>0</v>
      </c>
      <c r="O4" s="12"/>
      <c r="P4" s="19" t="n">
        <f aca="false">IF(ISNUMBER(SEARCH("reg",$O4)),Rates!$C$11,0)</f>
        <v>0</v>
      </c>
      <c r="Q4" s="19" t="n">
        <f aca="false">IF(ISNUMBER(SEARCH("supplies",$O4)),Rates!$C$12,0)</f>
        <v>0</v>
      </c>
      <c r="R4" s="19" t="n">
        <f aca="false">$M4-$N4+$P4+$Q4</f>
        <v>409.5</v>
      </c>
      <c r="S4" s="11" t="n">
        <v>409.5</v>
      </c>
      <c r="T4" s="19" t="n">
        <f aca="false">ROUND($R4-$S4,2)</f>
        <v>0</v>
      </c>
      <c r="U4" s="18" t="str">
        <f aca="false">IF(ABS($T4)&lt;0.02,"OK","CHECK")</f>
        <v>OK</v>
      </c>
      <c r="V4" s="12" t="s">
        <v>354</v>
      </c>
    </row>
    <row r="5" customFormat="false" ht="15" hidden="false" customHeight="false" outlineLevel="0" collapsed="false">
      <c r="A5" s="12" t="s">
        <v>355</v>
      </c>
      <c r="B5" s="12" t="s">
        <v>123</v>
      </c>
      <c r="C5" s="12" t="s">
        <v>124</v>
      </c>
      <c r="D5" s="12" t="s">
        <v>356</v>
      </c>
      <c r="E5" s="12" t="s">
        <v>352</v>
      </c>
      <c r="F5" s="12" t="s">
        <v>353</v>
      </c>
      <c r="G5" s="12" t="s">
        <v>106</v>
      </c>
      <c r="H5" s="12" t="s">
        <v>125</v>
      </c>
      <c r="I5" s="16" t="n">
        <f aca="false">IF($J5&lt;&gt;"",$J5,IF($E5="Wednesday",INDEX(Terms!$D$4:$D$5,MATCH($G5,Terms!$A$4:$A$5,0)),INDEX(Terms!$C$4:$C$5,MATCH($G5,Terms!$A$4:$A$5,0))))</f>
        <v>21</v>
      </c>
      <c r="J5" s="17"/>
      <c r="K5" s="18" t="n">
        <f aca="false">COUNTIFS($B$4:$B$500,$B5,$F$4:$F$500,"Enrolled")</f>
        <v>1</v>
      </c>
      <c r="L5" s="19" t="n">
        <f aca="false">IF($F5&lt;&gt;"Enrolled",0,IF($K5=0,0,IF($E5="Wednesday",Rates!$C$9,INDEX(Rates!$C$4:$C$7,MIN($K5,4))/$K5)))</f>
        <v>19.5</v>
      </c>
      <c r="M5" s="19" t="n">
        <f aca="false">ROUND($L5*$I5,2)</f>
        <v>409.5</v>
      </c>
      <c r="N5" s="11" t="n">
        <v>0</v>
      </c>
      <c r="O5" s="12" t="s">
        <v>357</v>
      </c>
      <c r="P5" s="19" t="n">
        <f aca="false">IF(ISNUMBER(SEARCH("reg",$O5)),Rates!$C$11,0)</f>
        <v>0</v>
      </c>
      <c r="Q5" s="19" t="n">
        <f aca="false">IF(ISNUMBER(SEARCH("supplies",$O5)),Rates!$C$12,0)</f>
        <v>25</v>
      </c>
      <c r="R5" s="19" t="n">
        <f aca="false">$M5-$N5+$P5+$Q5</f>
        <v>434.5</v>
      </c>
      <c r="S5" s="11" t="n">
        <v>434.5</v>
      </c>
      <c r="T5" s="19" t="n">
        <f aca="false">ROUND($R5-$S5,2)</f>
        <v>0</v>
      </c>
      <c r="U5" s="18" t="str">
        <f aca="false">IF(ABS($T5)&lt;0.02,"OK","CHECK")</f>
        <v>OK</v>
      </c>
      <c r="V5" s="12" t="s">
        <v>354</v>
      </c>
    </row>
    <row r="6" customFormat="false" ht="15" hidden="false" customHeight="false" outlineLevel="0" collapsed="false">
      <c r="A6" s="12" t="s">
        <v>358</v>
      </c>
      <c r="B6" s="12" t="s">
        <v>126</v>
      </c>
      <c r="C6" s="12" t="s">
        <v>127</v>
      </c>
      <c r="D6" s="12" t="s">
        <v>359</v>
      </c>
      <c r="E6" s="12" t="s">
        <v>352</v>
      </c>
      <c r="F6" s="12" t="s">
        <v>353</v>
      </c>
      <c r="G6" s="12" t="s">
        <v>106</v>
      </c>
      <c r="H6" s="12" t="s">
        <v>128</v>
      </c>
      <c r="I6" s="16" t="n">
        <f aca="false">IF($J6&lt;&gt;"",$J6,IF($E6="Wednesday",INDEX(Terms!$D$4:$D$5,MATCH($G6,Terms!$A$4:$A$5,0)),INDEX(Terms!$C$4:$C$5,MATCH($G6,Terms!$A$4:$A$5,0))))</f>
        <v>21</v>
      </c>
      <c r="J6" s="17"/>
      <c r="K6" s="18" t="n">
        <f aca="false">COUNTIFS($B$4:$B$500,$B6,$F$4:$F$500,"Enrolled")</f>
        <v>1</v>
      </c>
      <c r="L6" s="19" t="n">
        <f aca="false">IF($F6&lt;&gt;"Enrolled",0,IF($K6=0,0,IF($E6="Wednesday",Rates!$C$9,INDEX(Rates!$C$4:$C$7,MIN($K6,4))/$K6)))</f>
        <v>19.5</v>
      </c>
      <c r="M6" s="19" t="n">
        <f aca="false">ROUND($L6*$I6,2)</f>
        <v>409.5</v>
      </c>
      <c r="N6" s="11" t="n">
        <v>0</v>
      </c>
      <c r="O6" s="12" t="s">
        <v>357</v>
      </c>
      <c r="P6" s="19" t="n">
        <f aca="false">IF(ISNUMBER(SEARCH("reg",$O6)),Rates!$C$11,0)</f>
        <v>0</v>
      </c>
      <c r="Q6" s="19" t="n">
        <f aca="false">IF(ISNUMBER(SEARCH("supplies",$O6)),Rates!$C$12,0)</f>
        <v>25</v>
      </c>
      <c r="R6" s="19" t="n">
        <f aca="false">$M6-$N6+$P6+$Q6</f>
        <v>434.5</v>
      </c>
      <c r="S6" s="11" t="n">
        <v>434.5</v>
      </c>
      <c r="T6" s="19" t="n">
        <f aca="false">ROUND($R6-$S6,2)</f>
        <v>0</v>
      </c>
      <c r="U6" s="18" t="str">
        <f aca="false">IF(ABS($T6)&lt;0.02,"OK","CHECK")</f>
        <v>OK</v>
      </c>
      <c r="V6" s="12" t="s">
        <v>354</v>
      </c>
    </row>
    <row r="7" customFormat="false" ht="15" hidden="false" customHeight="false" outlineLevel="0" collapsed="false">
      <c r="A7" s="12" t="s">
        <v>360</v>
      </c>
      <c r="B7" s="12" t="s">
        <v>130</v>
      </c>
      <c r="C7" s="12" t="s">
        <v>131</v>
      </c>
      <c r="D7" s="12" t="s">
        <v>361</v>
      </c>
      <c r="E7" s="12" t="s">
        <v>352</v>
      </c>
      <c r="F7" s="12" t="s">
        <v>353</v>
      </c>
      <c r="G7" s="12" t="s">
        <v>106</v>
      </c>
      <c r="H7" s="12" t="s">
        <v>132</v>
      </c>
      <c r="I7" s="16" t="n">
        <f aca="false">IF($J7&lt;&gt;"",$J7,IF($E7="Wednesday",INDEX(Terms!$D$4:$D$5,MATCH($G7,Terms!$A$4:$A$5,0)),INDEX(Terms!$C$4:$C$5,MATCH($G7,Terms!$A$4:$A$5,0))))</f>
        <v>21</v>
      </c>
      <c r="J7" s="17"/>
      <c r="K7" s="18" t="n">
        <f aca="false">COUNTIFS($B$4:$B$500,$B7,$F$4:$F$500,"Enrolled")</f>
        <v>1</v>
      </c>
      <c r="L7" s="19" t="n">
        <f aca="false">IF($F7&lt;&gt;"Enrolled",0,IF($K7=0,0,IF($E7="Wednesday",Rates!$C$9,INDEX(Rates!$C$4:$C$7,MIN($K7,4))/$K7)))</f>
        <v>19.5</v>
      </c>
      <c r="M7" s="19" t="n">
        <f aca="false">ROUND($L7*$I7,2)</f>
        <v>409.5</v>
      </c>
      <c r="N7" s="11" t="n">
        <v>0</v>
      </c>
      <c r="O7" s="12" t="s">
        <v>357</v>
      </c>
      <c r="P7" s="19" t="n">
        <f aca="false">IF(ISNUMBER(SEARCH("reg",$O7)),Rates!$C$11,0)</f>
        <v>0</v>
      </c>
      <c r="Q7" s="19" t="n">
        <f aca="false">IF(ISNUMBER(SEARCH("supplies",$O7)),Rates!$C$12,0)</f>
        <v>25</v>
      </c>
      <c r="R7" s="19" t="n">
        <f aca="false">$M7-$N7+$P7+$Q7</f>
        <v>434.5</v>
      </c>
      <c r="S7" s="11" t="n">
        <v>434.5</v>
      </c>
      <c r="T7" s="19" t="n">
        <f aca="false">ROUND($R7-$S7,2)</f>
        <v>0</v>
      </c>
      <c r="U7" s="18" t="str">
        <f aca="false">IF(ABS($T7)&lt;0.02,"OK","CHECK")</f>
        <v>OK</v>
      </c>
      <c r="V7" s="12" t="s">
        <v>354</v>
      </c>
    </row>
    <row r="8" customFormat="false" ht="15" hidden="false" customHeight="false" outlineLevel="0" collapsed="false">
      <c r="A8" s="12" t="s">
        <v>362</v>
      </c>
      <c r="B8" s="12" t="s">
        <v>133</v>
      </c>
      <c r="C8" s="12" t="s">
        <v>134</v>
      </c>
      <c r="D8" s="12" t="s">
        <v>363</v>
      </c>
      <c r="E8" s="12" t="s">
        <v>352</v>
      </c>
      <c r="F8" s="12" t="s">
        <v>353</v>
      </c>
      <c r="G8" s="12" t="s">
        <v>106</v>
      </c>
      <c r="H8" s="12" t="s">
        <v>135</v>
      </c>
      <c r="I8" s="16" t="n">
        <f aca="false">IF($J8&lt;&gt;"",$J8,IF($E8="Wednesday",INDEX(Terms!$D$4:$D$5,MATCH($G8,Terms!$A$4:$A$5,0)),INDEX(Terms!$C$4:$C$5,MATCH($G8,Terms!$A$4:$A$5,0))))</f>
        <v>21</v>
      </c>
      <c r="J8" s="17"/>
      <c r="K8" s="18" t="n">
        <f aca="false">COUNTIFS($B$4:$B$500,$B8,$F$4:$F$500,"Enrolled")</f>
        <v>2</v>
      </c>
      <c r="L8" s="19" t="n">
        <f aca="false">IF($F8&lt;&gt;"Enrolled",0,IF($K8=0,0,IF($E8="Wednesday",Rates!$C$9,INDEX(Rates!$C$4:$C$7,MIN($K8,4))/$K8)))</f>
        <v>17.25</v>
      </c>
      <c r="M8" s="19" t="n">
        <f aca="false">ROUND($L8*$I8,2)</f>
        <v>362.25</v>
      </c>
      <c r="N8" s="11" t="n">
        <v>0</v>
      </c>
      <c r="O8" s="12" t="s">
        <v>357</v>
      </c>
      <c r="P8" s="19" t="n">
        <f aca="false">IF(ISNUMBER(SEARCH("reg",$O8)),Rates!$C$11,0)</f>
        <v>0</v>
      </c>
      <c r="Q8" s="19" t="n">
        <f aca="false">IF(ISNUMBER(SEARCH("supplies",$O8)),Rates!$C$12,0)</f>
        <v>25</v>
      </c>
      <c r="R8" s="19" t="n">
        <f aca="false">$M8-$N8+$P8+$Q8</f>
        <v>387.25</v>
      </c>
      <c r="S8" s="11" t="n">
        <v>387.25</v>
      </c>
      <c r="T8" s="19" t="n">
        <f aca="false">ROUND($R8-$S8,2)</f>
        <v>0</v>
      </c>
      <c r="U8" s="18" t="str">
        <f aca="false">IF(ABS($T8)&lt;0.02,"OK","CHECK")</f>
        <v>OK</v>
      </c>
      <c r="V8" s="12"/>
    </row>
    <row r="9" customFormat="false" ht="15" hidden="false" customHeight="false" outlineLevel="0" collapsed="false">
      <c r="A9" s="12" t="s">
        <v>364</v>
      </c>
      <c r="B9" s="12" t="s">
        <v>133</v>
      </c>
      <c r="C9" s="12" t="s">
        <v>134</v>
      </c>
      <c r="D9" s="12" t="s">
        <v>365</v>
      </c>
      <c r="E9" s="12" t="s">
        <v>352</v>
      </c>
      <c r="F9" s="12" t="s">
        <v>353</v>
      </c>
      <c r="G9" s="12" t="s">
        <v>106</v>
      </c>
      <c r="H9" s="12" t="s">
        <v>366</v>
      </c>
      <c r="I9" s="16" t="n">
        <f aca="false">IF($J9&lt;&gt;"",$J9,IF($E9="Wednesday",INDEX(Terms!$D$4:$D$5,MATCH($G9,Terms!$A$4:$A$5,0)),INDEX(Terms!$C$4:$C$5,MATCH($G9,Terms!$A$4:$A$5,0))))</f>
        <v>21</v>
      </c>
      <c r="J9" s="17"/>
      <c r="K9" s="18" t="n">
        <f aca="false">COUNTIFS($B$4:$B$500,$B9,$F$4:$F$500,"Enrolled")</f>
        <v>2</v>
      </c>
      <c r="L9" s="19" t="n">
        <f aca="false">IF($F9&lt;&gt;"Enrolled",0,IF($K9=0,0,IF($E9="Wednesday",Rates!$C$9,INDEX(Rates!$C$4:$C$7,MIN($K9,4))/$K9)))</f>
        <v>17.25</v>
      </c>
      <c r="M9" s="19" t="n">
        <f aca="false">ROUND($L9*$I9,2)</f>
        <v>362.25</v>
      </c>
      <c r="N9" s="11" t="n">
        <v>0</v>
      </c>
      <c r="O9" s="12"/>
      <c r="P9" s="19" t="n">
        <f aca="false">IF(ISNUMBER(SEARCH("reg",$O9)),Rates!$C$11,0)</f>
        <v>0</v>
      </c>
      <c r="Q9" s="19" t="n">
        <f aca="false">IF(ISNUMBER(SEARCH("supplies",$O9)),Rates!$C$12,0)</f>
        <v>0</v>
      </c>
      <c r="R9" s="19" t="n">
        <f aca="false">$M9-$N9+$P9+$Q9</f>
        <v>362.25</v>
      </c>
      <c r="S9" s="11" t="n">
        <v>362.25</v>
      </c>
      <c r="T9" s="19" t="n">
        <f aca="false">ROUND($R9-$S9,2)</f>
        <v>0</v>
      </c>
      <c r="U9" s="18" t="str">
        <f aca="false">IF(ABS($T9)&lt;0.02,"OK","CHECK")</f>
        <v>OK</v>
      </c>
      <c r="V9" s="12"/>
    </row>
    <row r="10" customFormat="false" ht="15" hidden="false" customHeight="false" outlineLevel="0" collapsed="false">
      <c r="A10" s="12" t="s">
        <v>367</v>
      </c>
      <c r="B10" s="12" t="s">
        <v>137</v>
      </c>
      <c r="C10" s="12" t="s">
        <v>138</v>
      </c>
      <c r="D10" s="12" t="s">
        <v>368</v>
      </c>
      <c r="E10" s="12" t="s">
        <v>352</v>
      </c>
      <c r="F10" s="12" t="s">
        <v>353</v>
      </c>
      <c r="G10" s="12" t="s">
        <v>106</v>
      </c>
      <c r="H10" s="12" t="s">
        <v>139</v>
      </c>
      <c r="I10" s="16" t="n">
        <f aca="false">IF($J10&lt;&gt;"",$J10,IF($E10="Wednesday",INDEX(Terms!$D$4:$D$5,MATCH($G10,Terms!$A$4:$A$5,0)),INDEX(Terms!$C$4:$C$5,MATCH($G10,Terms!$A$4:$A$5,0))))</f>
        <v>21</v>
      </c>
      <c r="J10" s="17"/>
      <c r="K10" s="18" t="n">
        <f aca="false">COUNTIFS($B$4:$B$500,$B10,$F$4:$F$500,"Enrolled")</f>
        <v>2</v>
      </c>
      <c r="L10" s="19" t="n">
        <f aca="false">IF($F10&lt;&gt;"Enrolled",0,IF($K10=0,0,IF($E10="Wednesday",Rates!$C$9,INDEX(Rates!$C$4:$C$7,MIN($K10,4))/$K10)))</f>
        <v>17.25</v>
      </c>
      <c r="M10" s="19" t="n">
        <f aca="false">ROUND($L10*$I10,2)</f>
        <v>362.25</v>
      </c>
      <c r="N10" s="11" t="n">
        <v>0</v>
      </c>
      <c r="O10" s="12" t="s">
        <v>357</v>
      </c>
      <c r="P10" s="19" t="n">
        <f aca="false">IF(ISNUMBER(SEARCH("reg",$O10)),Rates!$C$11,0)</f>
        <v>0</v>
      </c>
      <c r="Q10" s="19" t="n">
        <f aca="false">IF(ISNUMBER(SEARCH("supplies",$O10)),Rates!$C$12,0)</f>
        <v>25</v>
      </c>
      <c r="R10" s="19" t="n">
        <f aca="false">$M10-$N10+$P10+$Q10</f>
        <v>387.25</v>
      </c>
      <c r="S10" s="11" t="n">
        <v>387.25</v>
      </c>
      <c r="T10" s="19" t="n">
        <f aca="false">ROUND($R10-$S10,2)</f>
        <v>0</v>
      </c>
      <c r="U10" s="18" t="str">
        <f aca="false">IF(ABS($T10)&lt;0.02,"OK","CHECK")</f>
        <v>OK</v>
      </c>
      <c r="V10" s="12"/>
    </row>
    <row r="11" customFormat="false" ht="15" hidden="false" customHeight="false" outlineLevel="0" collapsed="false">
      <c r="A11" s="12" t="s">
        <v>369</v>
      </c>
      <c r="B11" s="12" t="s">
        <v>137</v>
      </c>
      <c r="C11" s="12" t="s">
        <v>138</v>
      </c>
      <c r="D11" s="12" t="s">
        <v>370</v>
      </c>
      <c r="E11" s="12" t="s">
        <v>352</v>
      </c>
      <c r="F11" s="12" t="s">
        <v>353</v>
      </c>
      <c r="G11" s="12" t="s">
        <v>106</v>
      </c>
      <c r="H11" s="12" t="s">
        <v>371</v>
      </c>
      <c r="I11" s="16" t="n">
        <f aca="false">IF($J11&lt;&gt;"",$J11,IF($E11="Wednesday",INDEX(Terms!$D$4:$D$5,MATCH($G11,Terms!$A$4:$A$5,0)),INDEX(Terms!$C$4:$C$5,MATCH($G11,Terms!$A$4:$A$5,0))))</f>
        <v>21</v>
      </c>
      <c r="J11" s="17"/>
      <c r="K11" s="18" t="n">
        <f aca="false">COUNTIFS($B$4:$B$500,$B11,$F$4:$F$500,"Enrolled")</f>
        <v>2</v>
      </c>
      <c r="L11" s="19" t="n">
        <f aca="false">IF($F11&lt;&gt;"Enrolled",0,IF($K11=0,0,IF($E11="Wednesday",Rates!$C$9,INDEX(Rates!$C$4:$C$7,MIN($K11,4))/$K11)))</f>
        <v>17.25</v>
      </c>
      <c r="M11" s="19" t="n">
        <f aca="false">ROUND($L11*$I11,2)</f>
        <v>362.25</v>
      </c>
      <c r="N11" s="11" t="n">
        <v>0</v>
      </c>
      <c r="O11" s="12" t="s">
        <v>357</v>
      </c>
      <c r="P11" s="19" t="n">
        <f aca="false">IF(ISNUMBER(SEARCH("reg",$O11)),Rates!$C$11,0)</f>
        <v>0</v>
      </c>
      <c r="Q11" s="19" t="n">
        <f aca="false">IF(ISNUMBER(SEARCH("supplies",$O11)),Rates!$C$12,0)</f>
        <v>25</v>
      </c>
      <c r="R11" s="19" t="n">
        <f aca="false">$M11-$N11+$P11+$Q11</f>
        <v>387.25</v>
      </c>
      <c r="S11" s="11" t="n">
        <v>387.25</v>
      </c>
      <c r="T11" s="19" t="n">
        <f aca="false">ROUND($R11-$S11,2)</f>
        <v>0</v>
      </c>
      <c r="U11" s="18" t="str">
        <f aca="false">IF(ABS($T11)&lt;0.02,"OK","CHECK")</f>
        <v>OK</v>
      </c>
      <c r="V11" s="12" t="s">
        <v>354</v>
      </c>
    </row>
    <row r="12" customFormat="false" ht="15" hidden="false" customHeight="false" outlineLevel="0" collapsed="false">
      <c r="A12" s="12" t="s">
        <v>372</v>
      </c>
      <c r="B12" s="12" t="s">
        <v>141</v>
      </c>
      <c r="C12" s="12" t="s">
        <v>142</v>
      </c>
      <c r="D12" s="12" t="s">
        <v>373</v>
      </c>
      <c r="E12" s="12" t="s">
        <v>352</v>
      </c>
      <c r="F12" s="12" t="s">
        <v>353</v>
      </c>
      <c r="G12" s="12" t="s">
        <v>106</v>
      </c>
      <c r="H12" s="12" t="s">
        <v>143</v>
      </c>
      <c r="I12" s="16" t="n">
        <f aca="false">IF($J12&lt;&gt;"",$J12,IF($E12="Wednesday",INDEX(Terms!$D$4:$D$5,MATCH($G12,Terms!$A$4:$A$5,0)),INDEX(Terms!$C$4:$C$5,MATCH($G12,Terms!$A$4:$A$5,0))))</f>
        <v>21</v>
      </c>
      <c r="J12" s="17"/>
      <c r="K12" s="18" t="n">
        <f aca="false">COUNTIFS($B$4:$B$500,$B12,$F$4:$F$500,"Enrolled")</f>
        <v>1</v>
      </c>
      <c r="L12" s="19" t="n">
        <f aca="false">IF($F12&lt;&gt;"Enrolled",0,IF($K12=0,0,IF($E12="Wednesday",Rates!$C$9,INDEX(Rates!$C$4:$C$7,MIN($K12,4))/$K12)))</f>
        <v>19.5</v>
      </c>
      <c r="M12" s="19" t="n">
        <f aca="false">ROUND($L12*$I12,2)</f>
        <v>409.5</v>
      </c>
      <c r="N12" s="11" t="n">
        <v>0</v>
      </c>
      <c r="O12" s="12" t="s">
        <v>357</v>
      </c>
      <c r="P12" s="19" t="n">
        <f aca="false">IF(ISNUMBER(SEARCH("reg",$O12)),Rates!$C$11,0)</f>
        <v>0</v>
      </c>
      <c r="Q12" s="19" t="n">
        <f aca="false">IF(ISNUMBER(SEARCH("supplies",$O12)),Rates!$C$12,0)</f>
        <v>25</v>
      </c>
      <c r="R12" s="19" t="n">
        <f aca="false">$M12-$N12+$P12+$Q12</f>
        <v>434.5</v>
      </c>
      <c r="S12" s="11" t="n">
        <v>434.5</v>
      </c>
      <c r="T12" s="19" t="n">
        <f aca="false">ROUND($R12-$S12,2)</f>
        <v>0</v>
      </c>
      <c r="U12" s="18" t="str">
        <f aca="false">IF(ABS($T12)&lt;0.02,"OK","CHECK")</f>
        <v>OK</v>
      </c>
      <c r="V12" s="12" t="s">
        <v>374</v>
      </c>
    </row>
    <row r="13" customFormat="false" ht="15" hidden="false" customHeight="false" outlineLevel="0" collapsed="false">
      <c r="A13" s="12" t="s">
        <v>375</v>
      </c>
      <c r="B13" s="12" t="s">
        <v>144</v>
      </c>
      <c r="C13" s="12" t="s">
        <v>145</v>
      </c>
      <c r="D13" s="12" t="s">
        <v>376</v>
      </c>
      <c r="E13" s="12" t="s">
        <v>352</v>
      </c>
      <c r="F13" s="12" t="s">
        <v>353</v>
      </c>
      <c r="G13" s="12" t="s">
        <v>106</v>
      </c>
      <c r="H13" s="12" t="s">
        <v>146</v>
      </c>
      <c r="I13" s="16" t="n">
        <f aca="false">IF($J13&lt;&gt;"",$J13,IF($E13="Wednesday",INDEX(Terms!$D$4:$D$5,MATCH($G13,Terms!$A$4:$A$5,0)),INDEX(Terms!$C$4:$C$5,MATCH($G13,Terms!$A$4:$A$5,0))))</f>
        <v>21</v>
      </c>
      <c r="J13" s="17"/>
      <c r="K13" s="18" t="n">
        <f aca="false">COUNTIFS($B$4:$B$500,$B13,$F$4:$F$500,"Enrolled")</f>
        <v>2</v>
      </c>
      <c r="L13" s="19" t="n">
        <f aca="false">IF($F13&lt;&gt;"Enrolled",0,IF($K13=0,0,IF($E13="Wednesday",Rates!$C$9,INDEX(Rates!$C$4:$C$7,MIN($K13,4))/$K13)))</f>
        <v>17.25</v>
      </c>
      <c r="M13" s="19" t="n">
        <f aca="false">ROUND($L13*$I13,2)</f>
        <v>362.25</v>
      </c>
      <c r="N13" s="11" t="n">
        <v>0</v>
      </c>
      <c r="O13" s="12" t="s">
        <v>357</v>
      </c>
      <c r="P13" s="19" t="n">
        <f aca="false">IF(ISNUMBER(SEARCH("reg",$O13)),Rates!$C$11,0)</f>
        <v>0</v>
      </c>
      <c r="Q13" s="19" t="n">
        <f aca="false">IF(ISNUMBER(SEARCH("supplies",$O13)),Rates!$C$12,0)</f>
        <v>25</v>
      </c>
      <c r="R13" s="19" t="n">
        <f aca="false">$M13-$N13+$P13+$Q13</f>
        <v>387.25</v>
      </c>
      <c r="S13" s="11" t="n">
        <v>387.25</v>
      </c>
      <c r="T13" s="19" t="n">
        <f aca="false">ROUND($R13-$S13,2)</f>
        <v>0</v>
      </c>
      <c r="U13" s="18" t="str">
        <f aca="false">IF(ABS($T13)&lt;0.02,"OK","CHECK")</f>
        <v>OK</v>
      </c>
      <c r="V13" s="12"/>
    </row>
    <row r="14" customFormat="false" ht="15" hidden="false" customHeight="false" outlineLevel="0" collapsed="false">
      <c r="A14" s="12" t="s">
        <v>377</v>
      </c>
      <c r="B14" s="12" t="s">
        <v>144</v>
      </c>
      <c r="C14" s="12" t="s">
        <v>145</v>
      </c>
      <c r="D14" s="12" t="s">
        <v>378</v>
      </c>
      <c r="E14" s="12" t="s">
        <v>352</v>
      </c>
      <c r="F14" s="12" t="s">
        <v>353</v>
      </c>
      <c r="G14" s="12" t="s">
        <v>106</v>
      </c>
      <c r="H14" s="12" t="s">
        <v>379</v>
      </c>
      <c r="I14" s="16" t="n">
        <f aca="false">IF($J14&lt;&gt;"",$J14,IF($E14="Wednesday",INDEX(Terms!$D$4:$D$5,MATCH($G14,Terms!$A$4:$A$5,0)),INDEX(Terms!$C$4:$C$5,MATCH($G14,Terms!$A$4:$A$5,0))))</f>
        <v>21</v>
      </c>
      <c r="J14" s="17"/>
      <c r="K14" s="18" t="n">
        <f aca="false">COUNTIFS($B$4:$B$500,$B14,$F$4:$F$500,"Enrolled")</f>
        <v>2</v>
      </c>
      <c r="L14" s="19" t="n">
        <f aca="false">IF($F14&lt;&gt;"Enrolled",0,IF($K14=0,0,IF($E14="Wednesday",Rates!$C$9,INDEX(Rates!$C$4:$C$7,MIN($K14,4))/$K14)))</f>
        <v>17.25</v>
      </c>
      <c r="M14" s="19" t="n">
        <f aca="false">ROUND($L14*$I14,2)</f>
        <v>362.25</v>
      </c>
      <c r="N14" s="11" t="n">
        <v>0</v>
      </c>
      <c r="O14" s="12" t="s">
        <v>357</v>
      </c>
      <c r="P14" s="19" t="n">
        <f aca="false">IF(ISNUMBER(SEARCH("reg",$O14)),Rates!$C$11,0)</f>
        <v>0</v>
      </c>
      <c r="Q14" s="19" t="n">
        <f aca="false">IF(ISNUMBER(SEARCH("supplies",$O14)),Rates!$C$12,0)</f>
        <v>25</v>
      </c>
      <c r="R14" s="19" t="n">
        <f aca="false">$M14-$N14+$P14+$Q14</f>
        <v>387.25</v>
      </c>
      <c r="S14" s="11" t="n">
        <v>387.25</v>
      </c>
      <c r="T14" s="19" t="n">
        <f aca="false">ROUND($R14-$S14,2)</f>
        <v>0</v>
      </c>
      <c r="U14" s="18" t="str">
        <f aca="false">IF(ABS($T14)&lt;0.02,"OK","CHECK")</f>
        <v>OK</v>
      </c>
      <c r="V14" s="12" t="s">
        <v>354</v>
      </c>
    </row>
    <row r="15" customFormat="false" ht="15" hidden="false" customHeight="false" outlineLevel="0" collapsed="false">
      <c r="A15" s="12" t="s">
        <v>380</v>
      </c>
      <c r="B15" s="12" t="s">
        <v>149</v>
      </c>
      <c r="C15" s="12" t="s">
        <v>150</v>
      </c>
      <c r="D15" s="12" t="s">
        <v>381</v>
      </c>
      <c r="E15" s="12" t="s">
        <v>352</v>
      </c>
      <c r="F15" s="12" t="s">
        <v>353</v>
      </c>
      <c r="G15" s="12" t="s">
        <v>106</v>
      </c>
      <c r="H15" s="12" t="s">
        <v>151</v>
      </c>
      <c r="I15" s="16" t="n">
        <f aca="false">IF($J15&lt;&gt;"",$J15,IF($E15="Wednesday",INDEX(Terms!$D$4:$D$5,MATCH($G15,Terms!$A$4:$A$5,0)),INDEX(Terms!$C$4:$C$5,MATCH($G15,Terms!$A$4:$A$5,0))))</f>
        <v>21</v>
      </c>
      <c r="J15" s="17"/>
      <c r="K15" s="18" t="n">
        <f aca="false">COUNTIFS($B$4:$B$500,$B15,$F$4:$F$500,"Enrolled")</f>
        <v>1</v>
      </c>
      <c r="L15" s="19" t="n">
        <f aca="false">IF($F15&lt;&gt;"Enrolled",0,IF($K15=0,0,IF($E15="Wednesday",Rates!$C$9,INDEX(Rates!$C$4:$C$7,MIN($K15,4))/$K15)))</f>
        <v>19.5</v>
      </c>
      <c r="M15" s="19" t="n">
        <f aca="false">ROUND($L15*$I15,2)</f>
        <v>409.5</v>
      </c>
      <c r="N15" s="11" t="n">
        <v>0</v>
      </c>
      <c r="O15" s="12" t="s">
        <v>357</v>
      </c>
      <c r="P15" s="19" t="n">
        <f aca="false">IF(ISNUMBER(SEARCH("reg",$O15)),Rates!$C$11,0)</f>
        <v>0</v>
      </c>
      <c r="Q15" s="19" t="n">
        <f aca="false">IF(ISNUMBER(SEARCH("supplies",$O15)),Rates!$C$12,0)</f>
        <v>25</v>
      </c>
      <c r="R15" s="19" t="n">
        <f aca="false">$M15-$N15+$P15+$Q15</f>
        <v>434.5</v>
      </c>
      <c r="S15" s="11" t="n">
        <v>434.5</v>
      </c>
      <c r="T15" s="19" t="n">
        <f aca="false">ROUND($R15-$S15,2)</f>
        <v>0</v>
      </c>
      <c r="U15" s="18" t="str">
        <f aca="false">IF(ABS($T15)&lt;0.02,"OK","CHECK")</f>
        <v>OK</v>
      </c>
      <c r="V15" s="12" t="s">
        <v>374</v>
      </c>
    </row>
    <row r="16" customFormat="false" ht="15" hidden="false" customHeight="false" outlineLevel="0" collapsed="false">
      <c r="A16" s="12" t="s">
        <v>382</v>
      </c>
      <c r="B16" s="12" t="s">
        <v>152</v>
      </c>
      <c r="C16" s="12" t="s">
        <v>153</v>
      </c>
      <c r="D16" s="12" t="s">
        <v>383</v>
      </c>
      <c r="E16" s="12" t="s">
        <v>352</v>
      </c>
      <c r="F16" s="12" t="s">
        <v>353</v>
      </c>
      <c r="G16" s="12" t="s">
        <v>106</v>
      </c>
      <c r="H16" s="12" t="s">
        <v>154</v>
      </c>
      <c r="I16" s="16" t="n">
        <f aca="false">IF($J16&lt;&gt;"",$J16,IF($E16="Wednesday",INDEX(Terms!$D$4:$D$5,MATCH($G16,Terms!$A$4:$A$5,0)),INDEX(Terms!$C$4:$C$5,MATCH($G16,Terms!$A$4:$A$5,0))))</f>
        <v>21</v>
      </c>
      <c r="J16" s="17"/>
      <c r="K16" s="18" t="n">
        <f aca="false">COUNTIFS($B$4:$B$500,$B16,$F$4:$F$500,"Enrolled")</f>
        <v>2</v>
      </c>
      <c r="L16" s="19" t="n">
        <f aca="false">IF($F16&lt;&gt;"Enrolled",0,IF($K16=0,0,IF($E16="Wednesday",Rates!$C$9,INDEX(Rates!$C$4:$C$7,MIN($K16,4))/$K16)))</f>
        <v>17.25</v>
      </c>
      <c r="M16" s="19" t="n">
        <f aca="false">ROUND($L16*$I16,2)</f>
        <v>362.25</v>
      </c>
      <c r="N16" s="11" t="n">
        <v>0</v>
      </c>
      <c r="O16" s="12" t="s">
        <v>357</v>
      </c>
      <c r="P16" s="19" t="n">
        <f aca="false">IF(ISNUMBER(SEARCH("reg",$O16)),Rates!$C$11,0)</f>
        <v>0</v>
      </c>
      <c r="Q16" s="19" t="n">
        <f aca="false">IF(ISNUMBER(SEARCH("supplies",$O16)),Rates!$C$12,0)</f>
        <v>25</v>
      </c>
      <c r="R16" s="19" t="n">
        <f aca="false">$M16-$N16+$P16+$Q16</f>
        <v>387.25</v>
      </c>
      <c r="S16" s="11" t="n">
        <v>387.25</v>
      </c>
      <c r="T16" s="19" t="n">
        <f aca="false">ROUND($R16-$S16,2)</f>
        <v>0</v>
      </c>
      <c r="U16" s="18" t="str">
        <f aca="false">IF(ABS($T16)&lt;0.02,"OK","CHECK")</f>
        <v>OK</v>
      </c>
      <c r="V16" s="12" t="s">
        <v>354</v>
      </c>
    </row>
    <row r="17" customFormat="false" ht="15" hidden="false" customHeight="false" outlineLevel="0" collapsed="false">
      <c r="A17" s="12" t="s">
        <v>384</v>
      </c>
      <c r="B17" s="12" t="s">
        <v>152</v>
      </c>
      <c r="C17" s="12" t="s">
        <v>153</v>
      </c>
      <c r="D17" s="12" t="s">
        <v>385</v>
      </c>
      <c r="E17" s="12" t="s">
        <v>352</v>
      </c>
      <c r="F17" s="12" t="s">
        <v>353</v>
      </c>
      <c r="G17" s="12" t="s">
        <v>106</v>
      </c>
      <c r="H17" s="12" t="s">
        <v>386</v>
      </c>
      <c r="I17" s="16" t="n">
        <f aca="false">IF($J17&lt;&gt;"",$J17,IF($E17="Wednesday",INDEX(Terms!$D$4:$D$5,MATCH($G17,Terms!$A$4:$A$5,0)),INDEX(Terms!$C$4:$C$5,MATCH($G17,Terms!$A$4:$A$5,0))))</f>
        <v>21</v>
      </c>
      <c r="J17" s="17"/>
      <c r="K17" s="18" t="n">
        <f aca="false">COUNTIFS($B$4:$B$500,$B17,$F$4:$F$500,"Enrolled")</f>
        <v>2</v>
      </c>
      <c r="L17" s="19" t="n">
        <f aca="false">IF($F17&lt;&gt;"Enrolled",0,IF($K17=0,0,IF($E17="Wednesday",Rates!$C$9,INDEX(Rates!$C$4:$C$7,MIN($K17,4))/$K17)))</f>
        <v>17.25</v>
      </c>
      <c r="M17" s="19" t="n">
        <f aca="false">ROUND($L17*$I17,2)</f>
        <v>362.25</v>
      </c>
      <c r="N17" s="11" t="n">
        <v>30</v>
      </c>
      <c r="O17" s="12"/>
      <c r="P17" s="19" t="n">
        <f aca="false">IF(ISNUMBER(SEARCH("reg",$O17)),Rates!$C$11,0)</f>
        <v>0</v>
      </c>
      <c r="Q17" s="19" t="n">
        <f aca="false">IF(ISNUMBER(SEARCH("supplies",$O17)),Rates!$C$12,0)</f>
        <v>0</v>
      </c>
      <c r="R17" s="19" t="n">
        <f aca="false">$M17-$N17+$P17+$Q17</f>
        <v>332.25</v>
      </c>
      <c r="S17" s="11" t="n">
        <v>332.25</v>
      </c>
      <c r="T17" s="19" t="n">
        <f aca="false">ROUND($R17-$S17,2)</f>
        <v>0</v>
      </c>
      <c r="U17" s="18" t="str">
        <f aca="false">IF(ABS($T17)&lt;0.02,"OK","CHECK")</f>
        <v>OK</v>
      </c>
      <c r="V17" s="12" t="s">
        <v>354</v>
      </c>
    </row>
    <row r="18" customFormat="false" ht="15" hidden="false" customHeight="false" outlineLevel="0" collapsed="false">
      <c r="A18" s="12" t="s">
        <v>387</v>
      </c>
      <c r="B18" s="12" t="s">
        <v>156</v>
      </c>
      <c r="C18" s="12" t="s">
        <v>157</v>
      </c>
      <c r="D18" s="12" t="s">
        <v>388</v>
      </c>
      <c r="E18" s="12" t="s">
        <v>352</v>
      </c>
      <c r="F18" s="12" t="s">
        <v>353</v>
      </c>
      <c r="G18" s="12" t="s">
        <v>106</v>
      </c>
      <c r="H18" s="12" t="s">
        <v>158</v>
      </c>
      <c r="I18" s="16" t="n">
        <f aca="false">IF($J18&lt;&gt;"",$J18,IF($E18="Wednesday",INDEX(Terms!$D$4:$D$5,MATCH($G18,Terms!$A$4:$A$5,0)),INDEX(Terms!$C$4:$C$5,MATCH($G18,Terms!$A$4:$A$5,0))))</f>
        <v>21</v>
      </c>
      <c r="J18" s="17"/>
      <c r="K18" s="18" t="n">
        <f aca="false">COUNTIFS($B$4:$B$500,$B18,$F$4:$F$500,"Enrolled")</f>
        <v>1</v>
      </c>
      <c r="L18" s="19" t="n">
        <f aca="false">IF($F18&lt;&gt;"Enrolled",0,IF($K18=0,0,IF($E18="Wednesday",Rates!$C$9,INDEX(Rates!$C$4:$C$7,MIN($K18,4))/$K18)))</f>
        <v>19.5</v>
      </c>
      <c r="M18" s="19" t="n">
        <f aca="false">ROUND($L18*$I18,2)</f>
        <v>409.5</v>
      </c>
      <c r="N18" s="11" t="n">
        <v>0</v>
      </c>
      <c r="O18" s="12" t="s">
        <v>357</v>
      </c>
      <c r="P18" s="19" t="n">
        <f aca="false">IF(ISNUMBER(SEARCH("reg",$O18)),Rates!$C$11,0)</f>
        <v>0</v>
      </c>
      <c r="Q18" s="19" t="n">
        <f aca="false">IF(ISNUMBER(SEARCH("supplies",$O18)),Rates!$C$12,0)</f>
        <v>25</v>
      </c>
      <c r="R18" s="19" t="n">
        <f aca="false">$M18-$N18+$P18+$Q18</f>
        <v>434.5</v>
      </c>
      <c r="S18" s="11" t="n">
        <v>434.5</v>
      </c>
      <c r="T18" s="19" t="n">
        <f aca="false">ROUND($R18-$S18,2)</f>
        <v>0</v>
      </c>
      <c r="U18" s="18" t="str">
        <f aca="false">IF(ABS($T18)&lt;0.02,"OK","CHECK")</f>
        <v>OK</v>
      </c>
      <c r="V18" s="12"/>
    </row>
    <row r="19" customFormat="false" ht="15" hidden="false" customHeight="false" outlineLevel="0" collapsed="false">
      <c r="A19" s="12" t="s">
        <v>389</v>
      </c>
      <c r="B19" s="12" t="s">
        <v>159</v>
      </c>
      <c r="C19" s="12" t="s">
        <v>160</v>
      </c>
      <c r="D19" s="12" t="s">
        <v>390</v>
      </c>
      <c r="E19" s="12" t="s">
        <v>352</v>
      </c>
      <c r="F19" s="12" t="s">
        <v>353</v>
      </c>
      <c r="G19" s="12" t="s">
        <v>106</v>
      </c>
      <c r="H19" s="12" t="s">
        <v>391</v>
      </c>
      <c r="I19" s="16" t="n">
        <f aca="false">IF($J19&lt;&gt;"",$J19,IF($E19="Wednesday",INDEX(Terms!$D$4:$D$5,MATCH($G19,Terms!$A$4:$A$5,0)),INDEX(Terms!$C$4:$C$5,MATCH($G19,Terms!$A$4:$A$5,0))))</f>
        <v>21</v>
      </c>
      <c r="J19" s="17"/>
      <c r="K19" s="18" t="n">
        <f aca="false">COUNTIFS($B$4:$B$500,$B19,$F$4:$F$500,"Enrolled")</f>
        <v>2</v>
      </c>
      <c r="L19" s="19" t="n">
        <f aca="false">IF($F19&lt;&gt;"Enrolled",0,IF($K19=0,0,IF($E19="Wednesday",Rates!$C$9,INDEX(Rates!$C$4:$C$7,MIN($K19,4))/$K19)))</f>
        <v>17.25</v>
      </c>
      <c r="M19" s="19" t="n">
        <f aca="false">ROUND($L19*$I19,2)</f>
        <v>362.25</v>
      </c>
      <c r="N19" s="11" t="n">
        <v>0</v>
      </c>
      <c r="O19" s="12" t="s">
        <v>357</v>
      </c>
      <c r="P19" s="19" t="n">
        <f aca="false">IF(ISNUMBER(SEARCH("reg",$O19)),Rates!$C$11,0)</f>
        <v>0</v>
      </c>
      <c r="Q19" s="19" t="n">
        <f aca="false">IF(ISNUMBER(SEARCH("supplies",$O19)),Rates!$C$12,0)</f>
        <v>25</v>
      </c>
      <c r="R19" s="19" t="n">
        <f aca="false">$M19-$N19+$P19+$Q19</f>
        <v>387.25</v>
      </c>
      <c r="S19" s="11" t="n">
        <v>387.25</v>
      </c>
      <c r="T19" s="19" t="n">
        <f aca="false">ROUND($R19-$S19,2)</f>
        <v>0</v>
      </c>
      <c r="U19" s="18" t="str">
        <f aca="false">IF(ABS($T19)&lt;0.02,"OK","CHECK")</f>
        <v>OK</v>
      </c>
      <c r="V19" s="12"/>
    </row>
    <row r="20" customFormat="false" ht="15" hidden="false" customHeight="false" outlineLevel="0" collapsed="false">
      <c r="A20" s="12" t="s">
        <v>392</v>
      </c>
      <c r="B20" s="12" t="s">
        <v>159</v>
      </c>
      <c r="C20" s="12" t="s">
        <v>160</v>
      </c>
      <c r="D20" s="12" t="s">
        <v>383</v>
      </c>
      <c r="E20" s="12" t="s">
        <v>352</v>
      </c>
      <c r="F20" s="12" t="s">
        <v>353</v>
      </c>
      <c r="G20" s="12" t="s">
        <v>106</v>
      </c>
      <c r="H20" s="12" t="s">
        <v>161</v>
      </c>
      <c r="I20" s="16" t="n">
        <f aca="false">IF($J20&lt;&gt;"",$J20,IF($E20="Wednesday",INDEX(Terms!$D$4:$D$5,MATCH($G20,Terms!$A$4:$A$5,0)),INDEX(Terms!$C$4:$C$5,MATCH($G20,Terms!$A$4:$A$5,0))))</f>
        <v>21</v>
      </c>
      <c r="J20" s="17"/>
      <c r="K20" s="18" t="n">
        <f aca="false">COUNTIFS($B$4:$B$500,$B20,$F$4:$F$500,"Enrolled")</f>
        <v>2</v>
      </c>
      <c r="L20" s="19" t="n">
        <f aca="false">IF($F20&lt;&gt;"Enrolled",0,IF($K20=0,0,IF($E20="Wednesday",Rates!$C$9,INDEX(Rates!$C$4:$C$7,MIN($K20,4))/$K20)))</f>
        <v>17.25</v>
      </c>
      <c r="M20" s="19" t="n">
        <f aca="false">ROUND($L20*$I20,2)</f>
        <v>362.25</v>
      </c>
      <c r="N20" s="11" t="n">
        <v>0</v>
      </c>
      <c r="O20" s="12"/>
      <c r="P20" s="19" t="n">
        <f aca="false">IF(ISNUMBER(SEARCH("reg",$O20)),Rates!$C$11,0)</f>
        <v>0</v>
      </c>
      <c r="Q20" s="19" t="n">
        <f aca="false">IF(ISNUMBER(SEARCH("supplies",$O20)),Rates!$C$12,0)</f>
        <v>0</v>
      </c>
      <c r="R20" s="19" t="n">
        <f aca="false">$M20-$N20+$P20+$Q20</f>
        <v>362.25</v>
      </c>
      <c r="S20" s="11" t="n">
        <v>362.25</v>
      </c>
      <c r="T20" s="19" t="n">
        <f aca="false">ROUND($R20-$S20,2)</f>
        <v>0</v>
      </c>
      <c r="U20" s="18" t="str">
        <f aca="false">IF(ABS($T20)&lt;0.02,"OK","CHECK")</f>
        <v>OK</v>
      </c>
      <c r="V20" s="12" t="s">
        <v>374</v>
      </c>
    </row>
    <row r="21" customFormat="false" ht="15" hidden="false" customHeight="false" outlineLevel="0" collapsed="false">
      <c r="A21" s="12" t="s">
        <v>393</v>
      </c>
      <c r="B21" s="12" t="s">
        <v>163</v>
      </c>
      <c r="C21" s="12" t="s">
        <v>164</v>
      </c>
      <c r="D21" s="12" t="s">
        <v>394</v>
      </c>
      <c r="E21" s="12" t="s">
        <v>352</v>
      </c>
      <c r="F21" s="12" t="s">
        <v>353</v>
      </c>
      <c r="G21" s="12" t="s">
        <v>106</v>
      </c>
      <c r="H21" s="12" t="s">
        <v>165</v>
      </c>
      <c r="I21" s="16" t="n">
        <f aca="false">IF($J21&lt;&gt;"",$J21,IF($E21="Wednesday",INDEX(Terms!$D$4:$D$5,MATCH($G21,Terms!$A$4:$A$5,0)),INDEX(Terms!$C$4:$C$5,MATCH($G21,Terms!$A$4:$A$5,0))))</f>
        <v>21</v>
      </c>
      <c r="J21" s="17"/>
      <c r="K21" s="18" t="n">
        <f aca="false">COUNTIFS($B$4:$B$500,$B21,$F$4:$F$500,"Enrolled")</f>
        <v>4</v>
      </c>
      <c r="L21" s="19" t="n">
        <f aca="false">IF($F21&lt;&gt;"Enrolled",0,IF($K21=0,0,IF($E21="Wednesday",Rates!$C$9,INDEX(Rates!$C$4:$C$7,MIN($K21,4))/$K21)))</f>
        <v>14.275</v>
      </c>
      <c r="M21" s="19" t="n">
        <f aca="false">ROUND($L21*$I21,2)</f>
        <v>299.78</v>
      </c>
      <c r="N21" s="11" t="n">
        <v>0</v>
      </c>
      <c r="O21" s="12"/>
      <c r="P21" s="19" t="n">
        <f aca="false">IF(ISNUMBER(SEARCH("reg",$O21)),Rates!$C$11,0)</f>
        <v>0</v>
      </c>
      <c r="Q21" s="19" t="n">
        <f aca="false">IF(ISNUMBER(SEARCH("supplies",$O21)),Rates!$C$12,0)</f>
        <v>0</v>
      </c>
      <c r="R21" s="19" t="n">
        <f aca="false">$M21-$N21+$P21+$Q21</f>
        <v>299.78</v>
      </c>
      <c r="S21" s="11" t="n">
        <v>299.78</v>
      </c>
      <c r="T21" s="19" t="n">
        <f aca="false">ROUND($R21-$S21,2)</f>
        <v>0</v>
      </c>
      <c r="U21" s="18" t="str">
        <f aca="false">IF(ABS($T21)&lt;0.02,"OK","CHECK")</f>
        <v>OK</v>
      </c>
      <c r="V21" s="12" t="s">
        <v>354</v>
      </c>
    </row>
    <row r="22" customFormat="false" ht="15" hidden="false" customHeight="false" outlineLevel="0" collapsed="false">
      <c r="A22" s="12" t="s">
        <v>395</v>
      </c>
      <c r="B22" s="12" t="s">
        <v>163</v>
      </c>
      <c r="C22" s="12" t="s">
        <v>164</v>
      </c>
      <c r="D22" s="12" t="s">
        <v>396</v>
      </c>
      <c r="E22" s="12" t="s">
        <v>352</v>
      </c>
      <c r="F22" s="12" t="s">
        <v>353</v>
      </c>
      <c r="G22" s="12" t="s">
        <v>106</v>
      </c>
      <c r="H22" s="12" t="s">
        <v>165</v>
      </c>
      <c r="I22" s="16" t="n">
        <f aca="false">IF($J22&lt;&gt;"",$J22,IF($E22="Wednesday",INDEX(Terms!$D$4:$D$5,MATCH($G22,Terms!$A$4:$A$5,0)),INDEX(Terms!$C$4:$C$5,MATCH($G22,Terms!$A$4:$A$5,0))))</f>
        <v>21</v>
      </c>
      <c r="J22" s="17"/>
      <c r="K22" s="18" t="n">
        <f aca="false">COUNTIFS($B$4:$B$500,$B22,$F$4:$F$500,"Enrolled")</f>
        <v>4</v>
      </c>
      <c r="L22" s="19" t="n">
        <f aca="false">IF($F22&lt;&gt;"Enrolled",0,IF($K22=0,0,IF($E22="Wednesday",Rates!$C$9,INDEX(Rates!$C$4:$C$7,MIN($K22,4))/$K22)))</f>
        <v>14.275</v>
      </c>
      <c r="M22" s="19" t="n">
        <f aca="false">ROUND($L22*$I22,2)</f>
        <v>299.78</v>
      </c>
      <c r="N22" s="11" t="n">
        <v>0</v>
      </c>
      <c r="O22" s="12"/>
      <c r="P22" s="19" t="n">
        <f aca="false">IF(ISNUMBER(SEARCH("reg",$O22)),Rates!$C$11,0)</f>
        <v>0</v>
      </c>
      <c r="Q22" s="19" t="n">
        <f aca="false">IF(ISNUMBER(SEARCH("supplies",$O22)),Rates!$C$12,0)</f>
        <v>0</v>
      </c>
      <c r="R22" s="19" t="n">
        <f aca="false">$M22-$N22+$P22+$Q22</f>
        <v>299.78</v>
      </c>
      <c r="S22" s="11" t="n">
        <v>299.78</v>
      </c>
      <c r="T22" s="19" t="n">
        <f aca="false">ROUND($R22-$S22,2)</f>
        <v>0</v>
      </c>
      <c r="U22" s="18" t="str">
        <f aca="false">IF(ABS($T22)&lt;0.02,"OK","CHECK")</f>
        <v>OK</v>
      </c>
      <c r="V22" s="12" t="s">
        <v>354</v>
      </c>
    </row>
    <row r="23" customFormat="false" ht="15" hidden="false" customHeight="false" outlineLevel="0" collapsed="false">
      <c r="A23" s="12" t="s">
        <v>397</v>
      </c>
      <c r="B23" s="12" t="s">
        <v>163</v>
      </c>
      <c r="C23" s="12" t="s">
        <v>164</v>
      </c>
      <c r="D23" s="12" t="s">
        <v>398</v>
      </c>
      <c r="E23" s="12" t="s">
        <v>352</v>
      </c>
      <c r="F23" s="12" t="s">
        <v>353</v>
      </c>
      <c r="G23" s="12" t="s">
        <v>106</v>
      </c>
      <c r="H23" s="12" t="s">
        <v>399</v>
      </c>
      <c r="I23" s="16" t="n">
        <f aca="false">IF($J23&lt;&gt;"",$J23,IF($E23="Wednesday",INDEX(Terms!$D$4:$D$5,MATCH($G23,Terms!$A$4:$A$5,0)),INDEX(Terms!$C$4:$C$5,MATCH($G23,Terms!$A$4:$A$5,0))))</f>
        <v>21</v>
      </c>
      <c r="J23" s="17"/>
      <c r="K23" s="18" t="n">
        <f aca="false">COUNTIFS($B$4:$B$500,$B23,$F$4:$F$500,"Enrolled")</f>
        <v>4</v>
      </c>
      <c r="L23" s="19" t="n">
        <f aca="false">IF($F23&lt;&gt;"Enrolled",0,IF($K23=0,0,IF($E23="Wednesday",Rates!$C$9,INDEX(Rates!$C$4:$C$7,MIN($K23,4))/$K23)))</f>
        <v>14.275</v>
      </c>
      <c r="M23" s="19" t="n">
        <f aca="false">ROUND($L23*$I23,2)</f>
        <v>299.78</v>
      </c>
      <c r="N23" s="11" t="n">
        <v>0</v>
      </c>
      <c r="O23" s="12" t="s">
        <v>400</v>
      </c>
      <c r="P23" s="19" t="n">
        <f aca="false">IF(ISNUMBER(SEARCH("reg",$O23)),Rates!$C$11,0)</f>
        <v>25</v>
      </c>
      <c r="Q23" s="19" t="n">
        <f aca="false">IF(ISNUMBER(SEARCH("supplies",$O23)),Rates!$C$12,0)</f>
        <v>25</v>
      </c>
      <c r="R23" s="19" t="n">
        <f aca="false">$M23-$N23+$P23+$Q23</f>
        <v>349.78</v>
      </c>
      <c r="S23" s="11" t="n">
        <v>349.78</v>
      </c>
      <c r="T23" s="19" t="n">
        <f aca="false">ROUND($R23-$S23,2)</f>
        <v>0</v>
      </c>
      <c r="U23" s="18" t="str">
        <f aca="false">IF(ABS($T23)&lt;0.02,"OK","CHECK")</f>
        <v>OK</v>
      </c>
      <c r="V23" s="12"/>
    </row>
    <row r="24" customFormat="false" ht="15" hidden="false" customHeight="false" outlineLevel="0" collapsed="false">
      <c r="A24" s="12" t="s">
        <v>401</v>
      </c>
      <c r="B24" s="12" t="s">
        <v>163</v>
      </c>
      <c r="C24" s="12" t="s">
        <v>164</v>
      </c>
      <c r="D24" s="12" t="s">
        <v>402</v>
      </c>
      <c r="E24" s="12" t="s">
        <v>352</v>
      </c>
      <c r="F24" s="12" t="s">
        <v>353</v>
      </c>
      <c r="G24" s="12" t="s">
        <v>106</v>
      </c>
      <c r="H24" s="12" t="s">
        <v>165</v>
      </c>
      <c r="I24" s="16" t="n">
        <f aca="false">IF($J24&lt;&gt;"",$J24,IF($E24="Wednesday",INDEX(Terms!$D$4:$D$5,MATCH($G24,Terms!$A$4:$A$5,0)),INDEX(Terms!$C$4:$C$5,MATCH($G24,Terms!$A$4:$A$5,0))))</f>
        <v>21</v>
      </c>
      <c r="J24" s="17"/>
      <c r="K24" s="18" t="n">
        <f aca="false">COUNTIFS($B$4:$B$500,$B24,$F$4:$F$500,"Enrolled")</f>
        <v>4</v>
      </c>
      <c r="L24" s="19" t="n">
        <f aca="false">IF($F24&lt;&gt;"Enrolled",0,IF($K24=0,0,IF($E24="Wednesday",Rates!$C$9,INDEX(Rates!$C$4:$C$7,MIN($K24,4))/$K24)))</f>
        <v>14.275</v>
      </c>
      <c r="M24" s="19" t="n">
        <f aca="false">ROUND($L24*$I24,2)</f>
        <v>299.78</v>
      </c>
      <c r="N24" s="11" t="n">
        <v>0</v>
      </c>
      <c r="O24" s="12"/>
      <c r="P24" s="19" t="n">
        <f aca="false">IF(ISNUMBER(SEARCH("reg",$O24)),Rates!$C$11,0)</f>
        <v>0</v>
      </c>
      <c r="Q24" s="19" t="n">
        <f aca="false">IF(ISNUMBER(SEARCH("supplies",$O24)),Rates!$C$12,0)</f>
        <v>0</v>
      </c>
      <c r="R24" s="19" t="n">
        <f aca="false">$M24-$N24+$P24+$Q24</f>
        <v>299.78</v>
      </c>
      <c r="S24" s="11" t="n">
        <v>299.78</v>
      </c>
      <c r="T24" s="19" t="n">
        <f aca="false">ROUND($R24-$S24,2)</f>
        <v>0</v>
      </c>
      <c r="U24" s="18" t="str">
        <f aca="false">IF(ABS($T24)&lt;0.02,"OK","CHECK")</f>
        <v>OK</v>
      </c>
      <c r="V24" s="12" t="s">
        <v>354</v>
      </c>
    </row>
    <row r="25" customFormat="false" ht="15" hidden="false" customHeight="false" outlineLevel="0" collapsed="false">
      <c r="A25" s="12" t="s">
        <v>403</v>
      </c>
      <c r="B25" s="12" t="s">
        <v>166</v>
      </c>
      <c r="C25" s="12" t="s">
        <v>167</v>
      </c>
      <c r="D25" s="12" t="s">
        <v>404</v>
      </c>
      <c r="E25" s="12" t="s">
        <v>352</v>
      </c>
      <c r="F25" s="12" t="s">
        <v>353</v>
      </c>
      <c r="G25" s="12" t="s">
        <v>106</v>
      </c>
      <c r="H25" s="12" t="s">
        <v>168</v>
      </c>
      <c r="I25" s="16" t="n">
        <f aca="false">IF($J25&lt;&gt;"",$J25,IF($E25="Wednesday",INDEX(Terms!$D$4:$D$5,MATCH($G25,Terms!$A$4:$A$5,0)),INDEX(Terms!$C$4:$C$5,MATCH($G25,Terms!$A$4:$A$5,0))))</f>
        <v>21</v>
      </c>
      <c r="J25" s="17"/>
      <c r="K25" s="18" t="n">
        <f aca="false">COUNTIFS($B$4:$B$500,$B25,$F$4:$F$500,"Enrolled")</f>
        <v>3</v>
      </c>
      <c r="L25" s="19" t="n">
        <f aca="false">IF($F25&lt;&gt;"Enrolled",0,IF($K25=0,0,IF($E25="Wednesday",Rates!$C$9,INDEX(Rates!$C$4:$C$7,MIN($K25,4))/$K25)))</f>
        <v>15.3333333333333</v>
      </c>
      <c r="M25" s="19" t="n">
        <f aca="false">ROUND($L25*$I25,2)</f>
        <v>322</v>
      </c>
      <c r="N25" s="11" t="n">
        <v>0</v>
      </c>
      <c r="O25" s="12" t="s">
        <v>357</v>
      </c>
      <c r="P25" s="19" t="n">
        <f aca="false">IF(ISNUMBER(SEARCH("reg",$O25)),Rates!$C$11,0)</f>
        <v>0</v>
      </c>
      <c r="Q25" s="19" t="n">
        <f aca="false">IF(ISNUMBER(SEARCH("supplies",$O25)),Rates!$C$12,0)</f>
        <v>25</v>
      </c>
      <c r="R25" s="19" t="n">
        <f aca="false">$M25-$N25+$P25+$Q25</f>
        <v>347</v>
      </c>
      <c r="S25" s="11" t="n">
        <v>347</v>
      </c>
      <c r="T25" s="19" t="n">
        <f aca="false">ROUND($R25-$S25,2)</f>
        <v>0</v>
      </c>
      <c r="U25" s="18" t="str">
        <f aca="false">IF(ABS($T25)&lt;0.02,"OK","CHECK")</f>
        <v>OK</v>
      </c>
      <c r="V25" s="12" t="s">
        <v>354</v>
      </c>
    </row>
    <row r="26" customFormat="false" ht="15" hidden="false" customHeight="false" outlineLevel="0" collapsed="false">
      <c r="A26" s="12" t="s">
        <v>405</v>
      </c>
      <c r="B26" s="12" t="s">
        <v>166</v>
      </c>
      <c r="C26" s="12" t="s">
        <v>167</v>
      </c>
      <c r="D26" s="12" t="s">
        <v>394</v>
      </c>
      <c r="E26" s="12" t="s">
        <v>352</v>
      </c>
      <c r="F26" s="12" t="s">
        <v>353</v>
      </c>
      <c r="G26" s="12" t="s">
        <v>106</v>
      </c>
      <c r="H26" s="12" t="s">
        <v>406</v>
      </c>
      <c r="I26" s="16" t="n">
        <f aca="false">IF($J26&lt;&gt;"",$J26,IF($E26="Wednesday",INDEX(Terms!$D$4:$D$5,MATCH($G26,Terms!$A$4:$A$5,0)),INDEX(Terms!$C$4:$C$5,MATCH($G26,Terms!$A$4:$A$5,0))))</f>
        <v>21</v>
      </c>
      <c r="J26" s="17"/>
      <c r="K26" s="18" t="n">
        <f aca="false">COUNTIFS($B$4:$B$500,$B26,$F$4:$F$500,"Enrolled")</f>
        <v>3</v>
      </c>
      <c r="L26" s="19" t="n">
        <f aca="false">IF($F26&lt;&gt;"Enrolled",0,IF($K26=0,0,IF($E26="Wednesday",Rates!$C$9,INDEX(Rates!$C$4:$C$7,MIN($K26,4))/$K26)))</f>
        <v>15.3333333333333</v>
      </c>
      <c r="M26" s="19" t="n">
        <f aca="false">ROUND($L26*$I26,2)</f>
        <v>322</v>
      </c>
      <c r="N26" s="11" t="n">
        <v>0</v>
      </c>
      <c r="O26" s="12" t="s">
        <v>357</v>
      </c>
      <c r="P26" s="19" t="n">
        <f aca="false">IF(ISNUMBER(SEARCH("reg",$O26)),Rates!$C$11,0)</f>
        <v>0</v>
      </c>
      <c r="Q26" s="19" t="n">
        <f aca="false">IF(ISNUMBER(SEARCH("supplies",$O26)),Rates!$C$12,0)</f>
        <v>25</v>
      </c>
      <c r="R26" s="19" t="n">
        <f aca="false">$M26-$N26+$P26+$Q26</f>
        <v>347</v>
      </c>
      <c r="S26" s="11" t="n">
        <v>347</v>
      </c>
      <c r="T26" s="19" t="n">
        <f aca="false">ROUND($R26-$S26,2)</f>
        <v>0</v>
      </c>
      <c r="U26" s="18" t="str">
        <f aca="false">IF(ABS($T26)&lt;0.02,"OK","CHECK")</f>
        <v>OK</v>
      </c>
      <c r="V26" s="12" t="s">
        <v>354</v>
      </c>
    </row>
    <row r="27" customFormat="false" ht="15" hidden="false" customHeight="false" outlineLevel="0" collapsed="false">
      <c r="A27" s="12" t="s">
        <v>407</v>
      </c>
      <c r="B27" s="12" t="s">
        <v>166</v>
      </c>
      <c r="C27" s="12" t="s">
        <v>167</v>
      </c>
      <c r="D27" s="12" t="s">
        <v>356</v>
      </c>
      <c r="E27" s="12" t="s">
        <v>352</v>
      </c>
      <c r="F27" s="12" t="s">
        <v>353</v>
      </c>
      <c r="G27" s="12" t="s">
        <v>106</v>
      </c>
      <c r="H27" s="12" t="s">
        <v>168</v>
      </c>
      <c r="I27" s="16" t="n">
        <f aca="false">IF($J27&lt;&gt;"",$J27,IF($E27="Wednesday",INDEX(Terms!$D$4:$D$5,MATCH($G27,Terms!$A$4:$A$5,0)),INDEX(Terms!$C$4:$C$5,MATCH($G27,Terms!$A$4:$A$5,0))))</f>
        <v>21</v>
      </c>
      <c r="J27" s="17"/>
      <c r="K27" s="18" t="n">
        <f aca="false">COUNTIFS($B$4:$B$500,$B27,$F$4:$F$500,"Enrolled")</f>
        <v>3</v>
      </c>
      <c r="L27" s="19" t="n">
        <f aca="false">IF($F27&lt;&gt;"Enrolled",0,IF($K27=0,0,IF($E27="Wednesday",Rates!$C$9,INDEX(Rates!$C$4:$C$7,MIN($K27,4))/$K27)))</f>
        <v>15.3333333333333</v>
      </c>
      <c r="M27" s="19" t="n">
        <f aca="false">ROUND($L27*$I27,2)</f>
        <v>322</v>
      </c>
      <c r="N27" s="11" t="n">
        <v>0</v>
      </c>
      <c r="O27" s="12" t="s">
        <v>357</v>
      </c>
      <c r="P27" s="19" t="n">
        <f aca="false">IF(ISNUMBER(SEARCH("reg",$O27)),Rates!$C$11,0)</f>
        <v>0</v>
      </c>
      <c r="Q27" s="19" t="n">
        <f aca="false">IF(ISNUMBER(SEARCH("supplies",$O27)),Rates!$C$12,0)</f>
        <v>25</v>
      </c>
      <c r="R27" s="19" t="n">
        <f aca="false">$M27-$N27+$P27+$Q27</f>
        <v>347</v>
      </c>
      <c r="S27" s="11" t="n">
        <v>347</v>
      </c>
      <c r="T27" s="19" t="n">
        <f aca="false">ROUND($R27-$S27,2)</f>
        <v>0</v>
      </c>
      <c r="U27" s="18" t="str">
        <f aca="false">IF(ABS($T27)&lt;0.02,"OK","CHECK")</f>
        <v>OK</v>
      </c>
      <c r="V27" s="12"/>
    </row>
    <row r="28" customFormat="false" ht="15" hidden="false" customHeight="false" outlineLevel="0" collapsed="false">
      <c r="A28" s="12" t="s">
        <v>408</v>
      </c>
      <c r="B28" s="12" t="s">
        <v>169</v>
      </c>
      <c r="C28" s="12" t="s">
        <v>170</v>
      </c>
      <c r="D28" s="12" t="s">
        <v>409</v>
      </c>
      <c r="E28" s="12" t="s">
        <v>352</v>
      </c>
      <c r="F28" s="12" t="s">
        <v>353</v>
      </c>
      <c r="G28" s="12" t="s">
        <v>106</v>
      </c>
      <c r="H28" s="12" t="s">
        <v>410</v>
      </c>
      <c r="I28" s="16" t="n">
        <f aca="false">IF($J28&lt;&gt;"",$J28,IF($E28="Wednesday",INDEX(Terms!$D$4:$D$5,MATCH($G28,Terms!$A$4:$A$5,0)),INDEX(Terms!$C$4:$C$5,MATCH($G28,Terms!$A$4:$A$5,0))))</f>
        <v>21</v>
      </c>
      <c r="J28" s="17"/>
      <c r="K28" s="18" t="n">
        <f aca="false">COUNTIFS($B$4:$B$500,$B28,$F$4:$F$500,"Enrolled")</f>
        <v>2</v>
      </c>
      <c r="L28" s="19" t="n">
        <f aca="false">IF($F28&lt;&gt;"Enrolled",0,IF($K28=0,0,IF($E28="Wednesday",Rates!$C$9,INDEX(Rates!$C$4:$C$7,MIN($K28,4))/$K28)))</f>
        <v>17.25</v>
      </c>
      <c r="M28" s="19" t="n">
        <f aca="false">ROUND($L28*$I28,2)</f>
        <v>362.25</v>
      </c>
      <c r="N28" s="11" t="n">
        <v>0</v>
      </c>
      <c r="O28" s="12" t="s">
        <v>357</v>
      </c>
      <c r="P28" s="19" t="n">
        <f aca="false">IF(ISNUMBER(SEARCH("reg",$O28)),Rates!$C$11,0)</f>
        <v>0</v>
      </c>
      <c r="Q28" s="19" t="n">
        <f aca="false">IF(ISNUMBER(SEARCH("supplies",$O28)),Rates!$C$12,0)</f>
        <v>25</v>
      </c>
      <c r="R28" s="19" t="n">
        <f aca="false">$M28-$N28+$P28+$Q28</f>
        <v>387.25</v>
      </c>
      <c r="S28" s="11" t="n">
        <v>387.25</v>
      </c>
      <c r="T28" s="19" t="n">
        <f aca="false">ROUND($R28-$S28,2)</f>
        <v>0</v>
      </c>
      <c r="U28" s="18" t="str">
        <f aca="false">IF(ABS($T28)&lt;0.02,"OK","CHECK")</f>
        <v>OK</v>
      </c>
      <c r="V28" s="12" t="s">
        <v>354</v>
      </c>
    </row>
    <row r="29" customFormat="false" ht="15" hidden="false" customHeight="false" outlineLevel="0" collapsed="false">
      <c r="A29" s="12" t="s">
        <v>411</v>
      </c>
      <c r="B29" s="12" t="s">
        <v>169</v>
      </c>
      <c r="C29" s="12" t="s">
        <v>170</v>
      </c>
      <c r="D29" s="12" t="s">
        <v>412</v>
      </c>
      <c r="E29" s="12" t="s">
        <v>352</v>
      </c>
      <c r="F29" s="12" t="s">
        <v>353</v>
      </c>
      <c r="G29" s="12" t="s">
        <v>106</v>
      </c>
      <c r="H29" s="12" t="s">
        <v>171</v>
      </c>
      <c r="I29" s="16" t="n">
        <f aca="false">IF($J29&lt;&gt;"",$J29,IF($E29="Wednesday",INDEX(Terms!$D$4:$D$5,MATCH($G29,Terms!$A$4:$A$5,0)),INDEX(Terms!$C$4:$C$5,MATCH($G29,Terms!$A$4:$A$5,0))))</f>
        <v>21</v>
      </c>
      <c r="J29" s="17"/>
      <c r="K29" s="18" t="n">
        <f aca="false">COUNTIFS($B$4:$B$500,$B29,$F$4:$F$500,"Enrolled")</f>
        <v>2</v>
      </c>
      <c r="L29" s="19" t="n">
        <f aca="false">IF($F29&lt;&gt;"Enrolled",0,IF($K29=0,0,IF($E29="Wednesday",Rates!$C$9,INDEX(Rates!$C$4:$C$7,MIN($K29,4))/$K29)))</f>
        <v>17.25</v>
      </c>
      <c r="M29" s="19" t="n">
        <f aca="false">ROUND($L29*$I29,2)</f>
        <v>362.25</v>
      </c>
      <c r="N29" s="11" t="n">
        <v>0</v>
      </c>
      <c r="O29" s="12" t="s">
        <v>357</v>
      </c>
      <c r="P29" s="19" t="n">
        <f aca="false">IF(ISNUMBER(SEARCH("reg",$O29)),Rates!$C$11,0)</f>
        <v>0</v>
      </c>
      <c r="Q29" s="19" t="n">
        <f aca="false">IF(ISNUMBER(SEARCH("supplies",$O29)),Rates!$C$12,0)</f>
        <v>25</v>
      </c>
      <c r="R29" s="19" t="n">
        <f aca="false">$M29-$N29+$P29+$Q29</f>
        <v>387.25</v>
      </c>
      <c r="S29" s="11" t="n">
        <v>387.25</v>
      </c>
      <c r="T29" s="19" t="n">
        <f aca="false">ROUND($R29-$S29,2)</f>
        <v>0</v>
      </c>
      <c r="U29" s="18" t="str">
        <f aca="false">IF(ABS($T29)&lt;0.02,"OK","CHECK")</f>
        <v>OK</v>
      </c>
      <c r="V29" s="12" t="s">
        <v>374</v>
      </c>
    </row>
    <row r="30" customFormat="false" ht="15" hidden="false" customHeight="false" outlineLevel="0" collapsed="false">
      <c r="A30" s="12" t="s">
        <v>413</v>
      </c>
      <c r="B30" s="12" t="s">
        <v>173</v>
      </c>
      <c r="C30" s="12" t="s">
        <v>174</v>
      </c>
      <c r="D30" s="12" t="s">
        <v>414</v>
      </c>
      <c r="E30" s="12" t="s">
        <v>352</v>
      </c>
      <c r="F30" s="12" t="s">
        <v>415</v>
      </c>
      <c r="G30" s="12" t="s">
        <v>106</v>
      </c>
      <c r="H30" s="12"/>
      <c r="I30" s="16" t="n">
        <f aca="false">IF($J30&lt;&gt;"",$J30,IF($E30="Wednesday",INDEX(Terms!$D$4:$D$5,MATCH($G30,Terms!$A$4:$A$5,0)),INDEX(Terms!$C$4:$C$5,MATCH($G30,Terms!$A$4:$A$5,0))))</f>
        <v>21</v>
      </c>
      <c r="J30" s="17"/>
      <c r="K30" s="18" t="n">
        <f aca="false">COUNTIFS($B$4:$B$500,$B30,$F$4:$F$500,"Enrolled")</f>
        <v>0</v>
      </c>
      <c r="L30" s="19" t="n">
        <f aca="false">IF($F30&lt;&gt;"Enrolled",0,IF($K30=0,0,IF($E30="Wednesday",Rates!$C$9,INDEX(Rates!$C$4:$C$7,MIN($K30,4))/$K30)))</f>
        <v>0</v>
      </c>
      <c r="M30" s="19" t="n">
        <f aca="false">ROUND($L30*$I30,2)</f>
        <v>0</v>
      </c>
      <c r="N30" s="11" t="n">
        <v>0</v>
      </c>
      <c r="O30" s="12" t="s">
        <v>357</v>
      </c>
      <c r="P30" s="19" t="n">
        <f aca="false">IF(ISNUMBER(SEARCH("reg",$O30)),Rates!$C$11,0)</f>
        <v>0</v>
      </c>
      <c r="Q30" s="19" t="n">
        <f aca="false">IF(ISNUMBER(SEARCH("supplies",$O30)),Rates!$C$12,0)</f>
        <v>25</v>
      </c>
      <c r="R30" s="19" t="n">
        <f aca="false">$M30-$N30+$P30+$Q30</f>
        <v>25</v>
      </c>
      <c r="S30" s="11" t="n">
        <v>25</v>
      </c>
      <c r="T30" s="19" t="n">
        <f aca="false">ROUND($R30-$S30,2)</f>
        <v>0</v>
      </c>
      <c r="U30" s="18" t="str">
        <f aca="false">IF(ABS($T30)&lt;0.02,"OK","CHECK")</f>
        <v>OK</v>
      </c>
      <c r="V30" s="12" t="s">
        <v>374</v>
      </c>
    </row>
    <row r="31" customFormat="false" ht="15" hidden="false" customHeight="false" outlineLevel="0" collapsed="false">
      <c r="A31" s="12" t="s">
        <v>416</v>
      </c>
      <c r="B31" s="12" t="s">
        <v>175</v>
      </c>
      <c r="C31" s="12" t="s">
        <v>174</v>
      </c>
      <c r="D31" s="12" t="s">
        <v>417</v>
      </c>
      <c r="E31" s="12" t="s">
        <v>352</v>
      </c>
      <c r="F31" s="12" t="s">
        <v>353</v>
      </c>
      <c r="G31" s="12" t="s">
        <v>106</v>
      </c>
      <c r="H31" s="12" t="s">
        <v>176</v>
      </c>
      <c r="I31" s="16" t="n">
        <f aca="false">IF($J31&lt;&gt;"",$J31,IF($E31="Wednesday",INDEX(Terms!$D$4:$D$5,MATCH($G31,Terms!$A$4:$A$5,0)),INDEX(Terms!$C$4:$C$5,MATCH($G31,Terms!$A$4:$A$5,0))))</f>
        <v>21</v>
      </c>
      <c r="J31" s="17"/>
      <c r="K31" s="18" t="n">
        <f aca="false">COUNTIFS($B$4:$B$500,$B31,$F$4:$F$500,"Enrolled")</f>
        <v>2</v>
      </c>
      <c r="L31" s="19" t="n">
        <f aca="false">IF($F31&lt;&gt;"Enrolled",0,IF($K31=0,0,IF($E31="Wednesday",Rates!$C$9,INDEX(Rates!$C$4:$C$7,MIN($K31,4))/$K31)))</f>
        <v>17.25</v>
      </c>
      <c r="M31" s="19" t="n">
        <f aca="false">ROUND($L31*$I31,2)</f>
        <v>362.25</v>
      </c>
      <c r="N31" s="11" t="n">
        <v>0</v>
      </c>
      <c r="O31" s="12" t="s">
        <v>357</v>
      </c>
      <c r="P31" s="19" t="n">
        <f aca="false">IF(ISNUMBER(SEARCH("reg",$O31)),Rates!$C$11,0)</f>
        <v>0</v>
      </c>
      <c r="Q31" s="19" t="n">
        <f aca="false">IF(ISNUMBER(SEARCH("supplies",$O31)),Rates!$C$12,0)</f>
        <v>25</v>
      </c>
      <c r="R31" s="19" t="n">
        <f aca="false">$M31-$N31+$P31+$Q31</f>
        <v>387.25</v>
      </c>
      <c r="S31" s="11" t="n">
        <v>347</v>
      </c>
      <c r="T31" s="19" t="n">
        <f aca="false">ROUND($R31-$S31,2)</f>
        <v>40.25</v>
      </c>
      <c r="U31" s="18" t="str">
        <f aca="false">IF(ABS($T31)&lt;0.02,"OK","CHECK")</f>
        <v>CHECK</v>
      </c>
      <c r="V31" s="12" t="s">
        <v>374</v>
      </c>
    </row>
    <row r="32" customFormat="false" ht="15" hidden="false" customHeight="false" outlineLevel="0" collapsed="false">
      <c r="A32" s="12" t="s">
        <v>418</v>
      </c>
      <c r="B32" s="12" t="s">
        <v>175</v>
      </c>
      <c r="C32" s="12" t="s">
        <v>174</v>
      </c>
      <c r="D32" s="12" t="s">
        <v>412</v>
      </c>
      <c r="E32" s="12" t="s">
        <v>352</v>
      </c>
      <c r="F32" s="12" t="s">
        <v>353</v>
      </c>
      <c r="G32" s="12" t="s">
        <v>106</v>
      </c>
      <c r="H32" s="12" t="s">
        <v>419</v>
      </c>
      <c r="I32" s="16" t="n">
        <f aca="false">IF($J32&lt;&gt;"",$J32,IF($E32="Wednesday",INDEX(Terms!$D$4:$D$5,MATCH($G32,Terms!$A$4:$A$5,0)),INDEX(Terms!$C$4:$C$5,MATCH($G32,Terms!$A$4:$A$5,0))))</f>
        <v>21</v>
      </c>
      <c r="J32" s="17"/>
      <c r="K32" s="18" t="n">
        <f aca="false">COUNTIFS($B$4:$B$500,$B32,$F$4:$F$500,"Enrolled")</f>
        <v>2</v>
      </c>
      <c r="L32" s="19" t="n">
        <f aca="false">IF($F32&lt;&gt;"Enrolled",0,IF($K32=0,0,IF($E32="Wednesday",Rates!$C$9,INDEX(Rates!$C$4:$C$7,MIN($K32,4))/$K32)))</f>
        <v>17.25</v>
      </c>
      <c r="M32" s="19" t="n">
        <f aca="false">ROUND($L32*$I32,2)</f>
        <v>362.25</v>
      </c>
      <c r="N32" s="11" t="n">
        <v>0</v>
      </c>
      <c r="O32" s="12" t="s">
        <v>357</v>
      </c>
      <c r="P32" s="19" t="n">
        <f aca="false">IF(ISNUMBER(SEARCH("reg",$O32)),Rates!$C$11,0)</f>
        <v>0</v>
      </c>
      <c r="Q32" s="19" t="n">
        <f aca="false">IF(ISNUMBER(SEARCH("supplies",$O32)),Rates!$C$12,0)</f>
        <v>25</v>
      </c>
      <c r="R32" s="19" t="n">
        <f aca="false">$M32-$N32+$P32+$Q32</f>
        <v>387.25</v>
      </c>
      <c r="S32" s="11" t="n">
        <v>347</v>
      </c>
      <c r="T32" s="19" t="n">
        <f aca="false">ROUND($R32-$S32,2)</f>
        <v>40.25</v>
      </c>
      <c r="U32" s="18" t="str">
        <f aca="false">IF(ABS($T32)&lt;0.02,"OK","CHECK")</f>
        <v>CHECK</v>
      </c>
      <c r="V32" s="12" t="s">
        <v>354</v>
      </c>
    </row>
    <row r="33" customFormat="false" ht="15" hidden="false" customHeight="false" outlineLevel="0" collapsed="false">
      <c r="A33" s="12" t="s">
        <v>420</v>
      </c>
      <c r="B33" s="12" t="s">
        <v>177</v>
      </c>
      <c r="C33" s="12" t="s">
        <v>178</v>
      </c>
      <c r="D33" s="12" t="s">
        <v>421</v>
      </c>
      <c r="E33" s="12" t="s">
        <v>352</v>
      </c>
      <c r="F33" s="12" t="s">
        <v>353</v>
      </c>
      <c r="G33" s="12" t="s">
        <v>106</v>
      </c>
      <c r="H33" s="12" t="s">
        <v>179</v>
      </c>
      <c r="I33" s="16" t="n">
        <f aca="false">IF($J33&lt;&gt;"",$J33,IF($E33="Wednesday",INDEX(Terms!$D$4:$D$5,MATCH($G33,Terms!$A$4:$A$5,0)),INDEX(Terms!$C$4:$C$5,MATCH($G33,Terms!$A$4:$A$5,0))))</f>
        <v>21</v>
      </c>
      <c r="J33" s="17"/>
      <c r="K33" s="18" t="n">
        <f aca="false">COUNTIFS($B$4:$B$500,$B33,$F$4:$F$500,"Enrolled")</f>
        <v>1</v>
      </c>
      <c r="L33" s="19" t="n">
        <f aca="false">IF($F33&lt;&gt;"Enrolled",0,IF($K33=0,0,IF($E33="Wednesday",Rates!$C$9,INDEX(Rates!$C$4:$C$7,MIN($K33,4))/$K33)))</f>
        <v>19.5</v>
      </c>
      <c r="M33" s="19" t="n">
        <f aca="false">ROUND($L33*$I33,2)</f>
        <v>409.5</v>
      </c>
      <c r="N33" s="11" t="n">
        <v>0</v>
      </c>
      <c r="O33" s="12"/>
      <c r="P33" s="19" t="n">
        <f aca="false">IF(ISNUMBER(SEARCH("reg",$O33)),Rates!$C$11,0)</f>
        <v>0</v>
      </c>
      <c r="Q33" s="19" t="n">
        <f aca="false">IF(ISNUMBER(SEARCH("supplies",$O33)),Rates!$C$12,0)</f>
        <v>0</v>
      </c>
      <c r="R33" s="19" t="n">
        <f aca="false">$M33-$N33+$P33+$Q33</f>
        <v>409.5</v>
      </c>
      <c r="S33" s="11" t="n">
        <v>409.5</v>
      </c>
      <c r="T33" s="19" t="n">
        <f aca="false">ROUND($R33-$S33,2)</f>
        <v>0</v>
      </c>
      <c r="U33" s="18" t="str">
        <f aca="false">IF(ABS($T33)&lt;0.02,"OK","CHECK")</f>
        <v>OK</v>
      </c>
      <c r="V33" s="12" t="s">
        <v>354</v>
      </c>
    </row>
    <row r="34" customFormat="false" ht="15" hidden="false" customHeight="false" outlineLevel="0" collapsed="false">
      <c r="A34" s="12" t="s">
        <v>422</v>
      </c>
      <c r="B34" s="12" t="s">
        <v>181</v>
      </c>
      <c r="C34" s="12" t="s">
        <v>182</v>
      </c>
      <c r="D34" s="12" t="s">
        <v>423</v>
      </c>
      <c r="E34" s="12" t="s">
        <v>352</v>
      </c>
      <c r="F34" s="12" t="s">
        <v>353</v>
      </c>
      <c r="G34" s="12" t="s">
        <v>106</v>
      </c>
      <c r="H34" s="12" t="s">
        <v>183</v>
      </c>
      <c r="I34" s="16" t="n">
        <f aca="false">IF($J34&lt;&gt;"",$J34,IF($E34="Wednesday",INDEX(Terms!$D$4:$D$5,MATCH($G34,Terms!$A$4:$A$5,0)),INDEX(Terms!$C$4:$C$5,MATCH($G34,Terms!$A$4:$A$5,0))))</f>
        <v>21</v>
      </c>
      <c r="J34" s="17"/>
      <c r="K34" s="18" t="n">
        <f aca="false">COUNTIFS($B$4:$B$500,$B34,$F$4:$F$500,"Enrolled")</f>
        <v>1</v>
      </c>
      <c r="L34" s="19" t="n">
        <f aca="false">IF($F34&lt;&gt;"Enrolled",0,IF($K34=0,0,IF($E34="Wednesday",Rates!$C$9,INDEX(Rates!$C$4:$C$7,MIN($K34,4))/$K34)))</f>
        <v>19.5</v>
      </c>
      <c r="M34" s="19" t="n">
        <f aca="false">ROUND($L34*$I34,2)</f>
        <v>409.5</v>
      </c>
      <c r="N34" s="11" t="n">
        <v>0</v>
      </c>
      <c r="O34" s="12" t="s">
        <v>357</v>
      </c>
      <c r="P34" s="19" t="n">
        <f aca="false">IF(ISNUMBER(SEARCH("reg",$O34)),Rates!$C$11,0)</f>
        <v>0</v>
      </c>
      <c r="Q34" s="19" t="n">
        <f aca="false">IF(ISNUMBER(SEARCH("supplies",$O34)),Rates!$C$12,0)</f>
        <v>25</v>
      </c>
      <c r="R34" s="19" t="n">
        <f aca="false">$M34-$N34+$P34+$Q34</f>
        <v>434.5</v>
      </c>
      <c r="S34" s="11" t="n">
        <v>434.5</v>
      </c>
      <c r="T34" s="19" t="n">
        <f aca="false">ROUND($R34-$S34,2)</f>
        <v>0</v>
      </c>
      <c r="U34" s="18" t="str">
        <f aca="false">IF(ABS($T34)&lt;0.02,"OK","CHECK")</f>
        <v>OK</v>
      </c>
      <c r="V34" s="12"/>
    </row>
    <row r="35" customFormat="false" ht="15" hidden="false" customHeight="false" outlineLevel="0" collapsed="false">
      <c r="A35" s="12" t="s">
        <v>424</v>
      </c>
      <c r="B35" s="12" t="s">
        <v>185</v>
      </c>
      <c r="C35" s="12" t="s">
        <v>186</v>
      </c>
      <c r="D35" s="12" t="s">
        <v>425</v>
      </c>
      <c r="E35" s="12" t="s">
        <v>352</v>
      </c>
      <c r="F35" s="12" t="s">
        <v>353</v>
      </c>
      <c r="G35" s="12" t="s">
        <v>106</v>
      </c>
      <c r="H35" s="12" t="s">
        <v>187</v>
      </c>
      <c r="I35" s="16" t="n">
        <f aca="false">IF($J35&lt;&gt;"",$J35,IF($E35="Wednesday",INDEX(Terms!$D$4:$D$5,MATCH($G35,Terms!$A$4:$A$5,0)),INDEX(Terms!$C$4:$C$5,MATCH($G35,Terms!$A$4:$A$5,0))))</f>
        <v>21</v>
      </c>
      <c r="J35" s="17"/>
      <c r="K35" s="18" t="n">
        <f aca="false">COUNTIFS($B$4:$B$500,$B35,$F$4:$F$500,"Enrolled")</f>
        <v>3</v>
      </c>
      <c r="L35" s="19" t="n">
        <f aca="false">IF($F35&lt;&gt;"Enrolled",0,IF($K35=0,0,IF($E35="Wednesday",Rates!$C$9,INDEX(Rates!$C$4:$C$7,MIN($K35,4))/$K35)))</f>
        <v>15.3333333333333</v>
      </c>
      <c r="M35" s="19" t="n">
        <f aca="false">ROUND($L35*$I35,2)</f>
        <v>322</v>
      </c>
      <c r="N35" s="11" t="n">
        <v>0</v>
      </c>
      <c r="O35" s="12" t="s">
        <v>357</v>
      </c>
      <c r="P35" s="19" t="n">
        <f aca="false">IF(ISNUMBER(SEARCH("reg",$O35)),Rates!$C$11,0)</f>
        <v>0</v>
      </c>
      <c r="Q35" s="19" t="n">
        <f aca="false">IF(ISNUMBER(SEARCH("supplies",$O35)),Rates!$C$12,0)</f>
        <v>25</v>
      </c>
      <c r="R35" s="19" t="n">
        <f aca="false">$M35-$N35+$P35+$Q35</f>
        <v>347</v>
      </c>
      <c r="S35" s="11" t="n">
        <v>347</v>
      </c>
      <c r="T35" s="19" t="n">
        <f aca="false">ROUND($R35-$S35,2)</f>
        <v>0</v>
      </c>
      <c r="U35" s="18" t="str">
        <f aca="false">IF(ABS($T35)&lt;0.02,"OK","CHECK")</f>
        <v>OK</v>
      </c>
      <c r="V35" s="12" t="s">
        <v>374</v>
      </c>
    </row>
    <row r="36" customFormat="false" ht="15" hidden="false" customHeight="false" outlineLevel="0" collapsed="false">
      <c r="A36" s="12" t="s">
        <v>426</v>
      </c>
      <c r="B36" s="12" t="s">
        <v>185</v>
      </c>
      <c r="C36" s="12" t="s">
        <v>186</v>
      </c>
      <c r="D36" s="12" t="s">
        <v>427</v>
      </c>
      <c r="E36" s="12" t="s">
        <v>352</v>
      </c>
      <c r="F36" s="12" t="s">
        <v>353</v>
      </c>
      <c r="G36" s="12" t="s">
        <v>106</v>
      </c>
      <c r="H36" s="12" t="s">
        <v>187</v>
      </c>
      <c r="I36" s="16" t="n">
        <f aca="false">IF($J36&lt;&gt;"",$J36,IF($E36="Wednesday",INDEX(Terms!$D$4:$D$5,MATCH($G36,Terms!$A$4:$A$5,0)),INDEX(Terms!$C$4:$C$5,MATCH($G36,Terms!$A$4:$A$5,0))))</f>
        <v>21</v>
      </c>
      <c r="J36" s="17"/>
      <c r="K36" s="18" t="n">
        <f aca="false">COUNTIFS($B$4:$B$500,$B36,$F$4:$F$500,"Enrolled")</f>
        <v>3</v>
      </c>
      <c r="L36" s="19" t="n">
        <f aca="false">IF($F36&lt;&gt;"Enrolled",0,IF($K36=0,0,IF($E36="Wednesday",Rates!$C$9,INDEX(Rates!$C$4:$C$7,MIN($K36,4))/$K36)))</f>
        <v>15.3333333333333</v>
      </c>
      <c r="M36" s="19" t="n">
        <f aca="false">ROUND($L36*$I36,2)</f>
        <v>322</v>
      </c>
      <c r="N36" s="11" t="n">
        <v>0</v>
      </c>
      <c r="O36" s="12" t="s">
        <v>357</v>
      </c>
      <c r="P36" s="19" t="n">
        <f aca="false">IF(ISNUMBER(SEARCH("reg",$O36)),Rates!$C$11,0)</f>
        <v>0</v>
      </c>
      <c r="Q36" s="19" t="n">
        <f aca="false">IF(ISNUMBER(SEARCH("supplies",$O36)),Rates!$C$12,0)</f>
        <v>25</v>
      </c>
      <c r="R36" s="19" t="n">
        <f aca="false">$M36-$N36+$P36+$Q36</f>
        <v>347</v>
      </c>
      <c r="S36" s="11" t="n">
        <v>347</v>
      </c>
      <c r="T36" s="19" t="n">
        <f aca="false">ROUND($R36-$S36,2)</f>
        <v>0</v>
      </c>
      <c r="U36" s="18" t="str">
        <f aca="false">IF(ABS($T36)&lt;0.02,"OK","CHECK")</f>
        <v>OK</v>
      </c>
      <c r="V36" s="12"/>
    </row>
    <row r="37" customFormat="false" ht="15" hidden="false" customHeight="false" outlineLevel="0" collapsed="false">
      <c r="A37" s="12" t="s">
        <v>428</v>
      </c>
      <c r="B37" s="12" t="s">
        <v>185</v>
      </c>
      <c r="C37" s="12" t="s">
        <v>186</v>
      </c>
      <c r="D37" s="12" t="s">
        <v>429</v>
      </c>
      <c r="E37" s="12" t="s">
        <v>352</v>
      </c>
      <c r="F37" s="12" t="s">
        <v>353</v>
      </c>
      <c r="G37" s="12" t="s">
        <v>106</v>
      </c>
      <c r="H37" s="12" t="s">
        <v>430</v>
      </c>
      <c r="I37" s="16" t="n">
        <f aca="false">IF($J37&lt;&gt;"",$J37,IF($E37="Wednesday",INDEX(Terms!$D$4:$D$5,MATCH($G37,Terms!$A$4:$A$5,0)),INDEX(Terms!$C$4:$C$5,MATCH($G37,Terms!$A$4:$A$5,0))))</f>
        <v>21</v>
      </c>
      <c r="J37" s="17"/>
      <c r="K37" s="18" t="n">
        <f aca="false">COUNTIFS($B$4:$B$500,$B37,$F$4:$F$500,"Enrolled")</f>
        <v>3</v>
      </c>
      <c r="L37" s="19" t="n">
        <f aca="false">IF($F37&lt;&gt;"Enrolled",0,IF($K37=0,0,IF($E37="Wednesday",Rates!$C$9,INDEX(Rates!$C$4:$C$7,MIN($K37,4))/$K37)))</f>
        <v>15.3333333333333</v>
      </c>
      <c r="M37" s="19" t="n">
        <f aca="false">ROUND($L37*$I37,2)</f>
        <v>322</v>
      </c>
      <c r="N37" s="11" t="n">
        <v>0</v>
      </c>
      <c r="O37" s="12" t="s">
        <v>357</v>
      </c>
      <c r="P37" s="19" t="n">
        <f aca="false">IF(ISNUMBER(SEARCH("reg",$O37)),Rates!$C$11,0)</f>
        <v>0</v>
      </c>
      <c r="Q37" s="19" t="n">
        <f aca="false">IF(ISNUMBER(SEARCH("supplies",$O37)),Rates!$C$12,0)</f>
        <v>25</v>
      </c>
      <c r="R37" s="19" t="n">
        <f aca="false">$M37-$N37+$P37+$Q37</f>
        <v>347</v>
      </c>
      <c r="S37" s="11" t="n">
        <v>347</v>
      </c>
      <c r="T37" s="19" t="n">
        <f aca="false">ROUND($R37-$S37,2)</f>
        <v>0</v>
      </c>
      <c r="U37" s="18" t="str">
        <f aca="false">IF(ABS($T37)&lt;0.02,"OK","CHECK")</f>
        <v>OK</v>
      </c>
      <c r="V37" s="12" t="s">
        <v>354</v>
      </c>
    </row>
    <row r="38" customFormat="false" ht="15" hidden="false" customHeight="false" outlineLevel="0" collapsed="false">
      <c r="A38" s="12" t="s">
        <v>431</v>
      </c>
      <c r="B38" s="12" t="s">
        <v>189</v>
      </c>
      <c r="C38" s="12" t="s">
        <v>190</v>
      </c>
      <c r="D38" s="12" t="s">
        <v>363</v>
      </c>
      <c r="E38" s="12" t="s">
        <v>352</v>
      </c>
      <c r="F38" s="12" t="s">
        <v>353</v>
      </c>
      <c r="G38" s="12" t="s">
        <v>106</v>
      </c>
      <c r="H38" s="12" t="s">
        <v>191</v>
      </c>
      <c r="I38" s="16" t="n">
        <f aca="false">IF($J38&lt;&gt;"",$J38,IF($E38="Wednesday",INDEX(Terms!$D$4:$D$5,MATCH($G38,Terms!$A$4:$A$5,0)),INDEX(Terms!$C$4:$C$5,MATCH($G38,Terms!$A$4:$A$5,0))))</f>
        <v>21</v>
      </c>
      <c r="J38" s="17"/>
      <c r="K38" s="18" t="n">
        <f aca="false">COUNTIFS($B$4:$B$500,$B38,$F$4:$F$500,"Enrolled")</f>
        <v>1</v>
      </c>
      <c r="L38" s="19" t="n">
        <f aca="false">IF($F38&lt;&gt;"Enrolled",0,IF($K38=0,0,IF($E38="Wednesday",Rates!$C$9,INDEX(Rates!$C$4:$C$7,MIN($K38,4))/$K38)))</f>
        <v>19.5</v>
      </c>
      <c r="M38" s="19" t="n">
        <f aca="false">ROUND($L38*$I38,2)</f>
        <v>409.5</v>
      </c>
      <c r="N38" s="11" t="n">
        <v>0</v>
      </c>
      <c r="O38" s="12"/>
      <c r="P38" s="19" t="n">
        <f aca="false">IF(ISNUMBER(SEARCH("reg",$O38)),Rates!$C$11,0)</f>
        <v>0</v>
      </c>
      <c r="Q38" s="19" t="n">
        <f aca="false">IF(ISNUMBER(SEARCH("supplies",$O38)),Rates!$C$12,0)</f>
        <v>0</v>
      </c>
      <c r="R38" s="19" t="n">
        <f aca="false">$M38-$N38+$P38+$Q38</f>
        <v>409.5</v>
      </c>
      <c r="S38" s="11" t="n">
        <v>409.5</v>
      </c>
      <c r="T38" s="19" t="n">
        <f aca="false">ROUND($R38-$S38,2)</f>
        <v>0</v>
      </c>
      <c r="U38" s="18" t="str">
        <f aca="false">IF(ABS($T38)&lt;0.02,"OK","CHECK")</f>
        <v>OK</v>
      </c>
      <c r="V38" s="12"/>
    </row>
    <row r="39" customFormat="false" ht="15" hidden="false" customHeight="false" outlineLevel="0" collapsed="false">
      <c r="A39" s="12" t="s">
        <v>432</v>
      </c>
      <c r="B39" s="12" t="s">
        <v>192</v>
      </c>
      <c r="C39" s="12" t="s">
        <v>193</v>
      </c>
      <c r="D39" s="12" t="s">
        <v>388</v>
      </c>
      <c r="E39" s="12" t="s">
        <v>352</v>
      </c>
      <c r="F39" s="12" t="s">
        <v>353</v>
      </c>
      <c r="G39" s="12" t="s">
        <v>106</v>
      </c>
      <c r="H39" s="12" t="s">
        <v>194</v>
      </c>
      <c r="I39" s="16" t="n">
        <f aca="false">IF($J39&lt;&gt;"",$J39,IF($E39="Wednesday",INDEX(Terms!$D$4:$D$5,MATCH($G39,Terms!$A$4:$A$5,0)),INDEX(Terms!$C$4:$C$5,MATCH($G39,Terms!$A$4:$A$5,0))))</f>
        <v>21</v>
      </c>
      <c r="J39" s="17"/>
      <c r="K39" s="18" t="n">
        <f aca="false">COUNTIFS($B$4:$B$500,$B39,$F$4:$F$500,"Enrolled")</f>
        <v>1</v>
      </c>
      <c r="L39" s="19" t="n">
        <f aca="false">IF($F39&lt;&gt;"Enrolled",0,IF($K39=0,0,IF($E39="Wednesday",Rates!$C$9,INDEX(Rates!$C$4:$C$7,MIN($K39,4))/$K39)))</f>
        <v>19.5</v>
      </c>
      <c r="M39" s="19" t="n">
        <f aca="false">ROUND($L39*$I39,2)</f>
        <v>409.5</v>
      </c>
      <c r="N39" s="11" t="n">
        <v>0</v>
      </c>
      <c r="O39" s="12" t="s">
        <v>357</v>
      </c>
      <c r="P39" s="19" t="n">
        <f aca="false">IF(ISNUMBER(SEARCH("reg",$O39)),Rates!$C$11,0)</f>
        <v>0</v>
      </c>
      <c r="Q39" s="19" t="n">
        <f aca="false">IF(ISNUMBER(SEARCH("supplies",$O39)),Rates!$C$12,0)</f>
        <v>25</v>
      </c>
      <c r="R39" s="19" t="n">
        <f aca="false">$M39-$N39+$P39+$Q39</f>
        <v>434.5</v>
      </c>
      <c r="S39" s="11" t="n">
        <v>434.5</v>
      </c>
      <c r="T39" s="19" t="n">
        <f aca="false">ROUND($R39-$S39,2)</f>
        <v>0</v>
      </c>
      <c r="U39" s="18" t="str">
        <f aca="false">IF(ABS($T39)&lt;0.02,"OK","CHECK")</f>
        <v>OK</v>
      </c>
      <c r="V39" s="12" t="s">
        <v>354</v>
      </c>
    </row>
    <row r="40" customFormat="false" ht="15" hidden="false" customHeight="false" outlineLevel="0" collapsed="false">
      <c r="A40" s="12" t="s">
        <v>433</v>
      </c>
      <c r="B40" s="12" t="s">
        <v>196</v>
      </c>
      <c r="C40" s="12" t="s">
        <v>197</v>
      </c>
      <c r="D40" s="12" t="s">
        <v>396</v>
      </c>
      <c r="E40" s="12" t="s">
        <v>352</v>
      </c>
      <c r="F40" s="12" t="s">
        <v>353</v>
      </c>
      <c r="G40" s="12" t="s">
        <v>106</v>
      </c>
      <c r="H40" s="12" t="s">
        <v>198</v>
      </c>
      <c r="I40" s="16" t="n">
        <f aca="false">IF($J40&lt;&gt;"",$J40,IF($E40="Wednesday",INDEX(Terms!$D$4:$D$5,MATCH($G40,Terms!$A$4:$A$5,0)),INDEX(Terms!$C$4:$C$5,MATCH($G40,Terms!$A$4:$A$5,0))))</f>
        <v>21</v>
      </c>
      <c r="J40" s="17"/>
      <c r="K40" s="18" t="n">
        <f aca="false">COUNTIFS($B$4:$B$500,$B40,$F$4:$F$500,"Enrolled")</f>
        <v>1</v>
      </c>
      <c r="L40" s="19" t="n">
        <f aca="false">IF($F40&lt;&gt;"Enrolled",0,IF($K40=0,0,IF($E40="Wednesday",Rates!$C$9,INDEX(Rates!$C$4:$C$7,MIN($K40,4))/$K40)))</f>
        <v>19.5</v>
      </c>
      <c r="M40" s="19" t="n">
        <f aca="false">ROUND($L40*$I40,2)</f>
        <v>409.5</v>
      </c>
      <c r="N40" s="11" t="n">
        <v>0</v>
      </c>
      <c r="O40" s="12" t="s">
        <v>357</v>
      </c>
      <c r="P40" s="19" t="n">
        <f aca="false">IF(ISNUMBER(SEARCH("reg",$O40)),Rates!$C$11,0)</f>
        <v>0</v>
      </c>
      <c r="Q40" s="19" t="n">
        <f aca="false">IF(ISNUMBER(SEARCH("supplies",$O40)),Rates!$C$12,0)</f>
        <v>25</v>
      </c>
      <c r="R40" s="19" t="n">
        <f aca="false">$M40-$N40+$P40+$Q40</f>
        <v>434.5</v>
      </c>
      <c r="S40" s="11" t="n">
        <v>434.5</v>
      </c>
      <c r="T40" s="19" t="n">
        <f aca="false">ROUND($R40-$S40,2)</f>
        <v>0</v>
      </c>
      <c r="U40" s="18" t="str">
        <f aca="false">IF(ABS($T40)&lt;0.02,"OK","CHECK")</f>
        <v>OK</v>
      </c>
      <c r="V40" s="12" t="s">
        <v>354</v>
      </c>
    </row>
    <row r="41" customFormat="false" ht="15" hidden="false" customHeight="false" outlineLevel="0" collapsed="false">
      <c r="A41" s="12" t="s">
        <v>434</v>
      </c>
      <c r="B41" s="12" t="s">
        <v>200</v>
      </c>
      <c r="C41" s="12" t="s">
        <v>201</v>
      </c>
      <c r="D41" s="12" t="s">
        <v>435</v>
      </c>
      <c r="E41" s="12" t="s">
        <v>352</v>
      </c>
      <c r="F41" s="12" t="s">
        <v>353</v>
      </c>
      <c r="G41" s="12" t="s">
        <v>106</v>
      </c>
      <c r="H41" s="12" t="s">
        <v>202</v>
      </c>
      <c r="I41" s="16" t="n">
        <f aca="false">IF($J41&lt;&gt;"",$J41,IF($E41="Wednesday",INDEX(Terms!$D$4:$D$5,MATCH($G41,Terms!$A$4:$A$5,0)),INDEX(Terms!$C$4:$C$5,MATCH($G41,Terms!$A$4:$A$5,0))))</f>
        <v>21</v>
      </c>
      <c r="J41" s="17"/>
      <c r="K41" s="18" t="n">
        <f aca="false">COUNTIFS($B$4:$B$500,$B41,$F$4:$F$500,"Enrolled")</f>
        <v>1</v>
      </c>
      <c r="L41" s="19" t="n">
        <f aca="false">IF($F41&lt;&gt;"Enrolled",0,IF($K41=0,0,IF($E41="Wednesday",Rates!$C$9,INDEX(Rates!$C$4:$C$7,MIN($K41,4))/$K41)))</f>
        <v>19.5</v>
      </c>
      <c r="M41" s="19" t="n">
        <f aca="false">ROUND($L41*$I41,2)</f>
        <v>409.5</v>
      </c>
      <c r="N41" s="11" t="n">
        <v>0</v>
      </c>
      <c r="O41" s="12" t="s">
        <v>436</v>
      </c>
      <c r="P41" s="19" t="n">
        <f aca="false">IF(ISNUMBER(SEARCH("reg",$O41)),Rates!$C$11,0)</f>
        <v>25</v>
      </c>
      <c r="Q41" s="19" t="n">
        <f aca="false">IF(ISNUMBER(SEARCH("supplies",$O41)),Rates!$C$12,0)</f>
        <v>0</v>
      </c>
      <c r="R41" s="19" t="n">
        <f aca="false">$M41-$N41+$P41+$Q41</f>
        <v>434.5</v>
      </c>
      <c r="S41" s="11" t="n">
        <v>434.5</v>
      </c>
      <c r="T41" s="19" t="n">
        <f aca="false">ROUND($R41-$S41,2)</f>
        <v>0</v>
      </c>
      <c r="U41" s="18" t="str">
        <f aca="false">IF(ABS($T41)&lt;0.02,"OK","CHECK")</f>
        <v>OK</v>
      </c>
      <c r="V41" s="12" t="s">
        <v>354</v>
      </c>
    </row>
    <row r="42" customFormat="false" ht="15" hidden="false" customHeight="false" outlineLevel="0" collapsed="false">
      <c r="A42" s="12" t="s">
        <v>437</v>
      </c>
      <c r="B42" s="12" t="s">
        <v>204</v>
      </c>
      <c r="C42" s="12" t="s">
        <v>205</v>
      </c>
      <c r="D42" s="12" t="s">
        <v>396</v>
      </c>
      <c r="E42" s="12" t="s">
        <v>352</v>
      </c>
      <c r="F42" s="12" t="s">
        <v>353</v>
      </c>
      <c r="G42" s="12" t="s">
        <v>106</v>
      </c>
      <c r="H42" s="12" t="s">
        <v>206</v>
      </c>
      <c r="I42" s="16" t="n">
        <f aca="false">IF($J42&lt;&gt;"",$J42,IF($E42="Wednesday",INDEX(Terms!$D$4:$D$5,MATCH($G42,Terms!$A$4:$A$5,0)),INDEX(Terms!$C$4:$C$5,MATCH($G42,Terms!$A$4:$A$5,0))))</f>
        <v>21</v>
      </c>
      <c r="J42" s="17"/>
      <c r="K42" s="18" t="n">
        <f aca="false">COUNTIFS($B$4:$B$500,$B42,$F$4:$F$500,"Enrolled")</f>
        <v>1</v>
      </c>
      <c r="L42" s="19" t="n">
        <f aca="false">IF($F42&lt;&gt;"Enrolled",0,IF($K42=0,0,IF($E42="Wednesday",Rates!$C$9,INDEX(Rates!$C$4:$C$7,MIN($K42,4))/$K42)))</f>
        <v>19.5</v>
      </c>
      <c r="M42" s="19" t="n">
        <f aca="false">ROUND($L42*$I42,2)</f>
        <v>409.5</v>
      </c>
      <c r="N42" s="11" t="n">
        <v>0</v>
      </c>
      <c r="O42" s="12" t="s">
        <v>357</v>
      </c>
      <c r="P42" s="19" t="n">
        <f aca="false">IF(ISNUMBER(SEARCH("reg",$O42)),Rates!$C$11,0)</f>
        <v>0</v>
      </c>
      <c r="Q42" s="19" t="n">
        <f aca="false">IF(ISNUMBER(SEARCH("supplies",$O42)),Rates!$C$12,0)</f>
        <v>25</v>
      </c>
      <c r="R42" s="19" t="n">
        <f aca="false">$M42-$N42+$P42+$Q42</f>
        <v>434.5</v>
      </c>
      <c r="S42" s="11" t="n">
        <v>434.5</v>
      </c>
      <c r="T42" s="19" t="n">
        <f aca="false">ROUND($R42-$S42,2)</f>
        <v>0</v>
      </c>
      <c r="U42" s="18" t="str">
        <f aca="false">IF(ABS($T42)&lt;0.02,"OK","CHECK")</f>
        <v>OK</v>
      </c>
      <c r="V42" s="12" t="s">
        <v>354</v>
      </c>
    </row>
    <row r="43" customFormat="false" ht="15" hidden="false" customHeight="false" outlineLevel="0" collapsed="false">
      <c r="A43" s="12" t="s">
        <v>438</v>
      </c>
      <c r="B43" s="12" t="s">
        <v>207</v>
      </c>
      <c r="C43" s="12" t="s">
        <v>208</v>
      </c>
      <c r="D43" s="12" t="s">
        <v>439</v>
      </c>
      <c r="E43" s="12" t="s">
        <v>352</v>
      </c>
      <c r="F43" s="12" t="s">
        <v>353</v>
      </c>
      <c r="G43" s="12" t="s">
        <v>106</v>
      </c>
      <c r="H43" s="12" t="s">
        <v>209</v>
      </c>
      <c r="I43" s="16" t="n">
        <f aca="false">IF($J43&lt;&gt;"",$J43,IF($E43="Wednesday",INDEX(Terms!$D$4:$D$5,MATCH($G43,Terms!$A$4:$A$5,0)),INDEX(Terms!$C$4:$C$5,MATCH($G43,Terms!$A$4:$A$5,0))))</f>
        <v>21</v>
      </c>
      <c r="J43" s="17"/>
      <c r="K43" s="18" t="n">
        <f aca="false">COUNTIFS($B$4:$B$500,$B43,$F$4:$F$500,"Enrolled")</f>
        <v>1</v>
      </c>
      <c r="L43" s="19" t="n">
        <f aca="false">IF($F43&lt;&gt;"Enrolled",0,IF($K43=0,0,IF($E43="Wednesday",Rates!$C$9,INDEX(Rates!$C$4:$C$7,MIN($K43,4))/$K43)))</f>
        <v>19.5</v>
      </c>
      <c r="M43" s="19" t="n">
        <f aca="false">ROUND($L43*$I43,2)</f>
        <v>409.5</v>
      </c>
      <c r="N43" s="11" t="n">
        <v>0</v>
      </c>
      <c r="O43" s="12" t="s">
        <v>357</v>
      </c>
      <c r="P43" s="19" t="n">
        <f aca="false">IF(ISNUMBER(SEARCH("reg",$O43)),Rates!$C$11,0)</f>
        <v>0</v>
      </c>
      <c r="Q43" s="19" t="n">
        <f aca="false">IF(ISNUMBER(SEARCH("supplies",$O43)),Rates!$C$12,0)</f>
        <v>25</v>
      </c>
      <c r="R43" s="19" t="n">
        <f aca="false">$M43-$N43+$P43+$Q43</f>
        <v>434.5</v>
      </c>
      <c r="S43" s="11" t="n">
        <v>434.5</v>
      </c>
      <c r="T43" s="19" t="n">
        <f aca="false">ROUND($R43-$S43,2)</f>
        <v>0</v>
      </c>
      <c r="U43" s="18" t="str">
        <f aca="false">IF(ABS($T43)&lt;0.02,"OK","CHECK")</f>
        <v>OK</v>
      </c>
      <c r="V43" s="12" t="s">
        <v>374</v>
      </c>
    </row>
    <row r="44" customFormat="false" ht="15" hidden="false" customHeight="false" outlineLevel="0" collapsed="false">
      <c r="A44" s="12" t="s">
        <v>440</v>
      </c>
      <c r="B44" s="12" t="s">
        <v>211</v>
      </c>
      <c r="C44" s="12" t="s">
        <v>212</v>
      </c>
      <c r="D44" s="12" t="s">
        <v>441</v>
      </c>
      <c r="E44" s="12" t="s">
        <v>352</v>
      </c>
      <c r="F44" s="12" t="s">
        <v>353</v>
      </c>
      <c r="G44" s="12" t="s">
        <v>106</v>
      </c>
      <c r="H44" s="12" t="s">
        <v>213</v>
      </c>
      <c r="I44" s="16" t="n">
        <f aca="false">IF($J44&lt;&gt;"",$J44,IF($E44="Wednesday",INDEX(Terms!$D$4:$D$5,MATCH($G44,Terms!$A$4:$A$5,0)),INDEX(Terms!$C$4:$C$5,MATCH($G44,Terms!$A$4:$A$5,0))))</f>
        <v>21</v>
      </c>
      <c r="J44" s="17"/>
      <c r="K44" s="18" t="n">
        <f aca="false">COUNTIFS($B$4:$B$500,$B44,$F$4:$F$500,"Enrolled")</f>
        <v>1</v>
      </c>
      <c r="L44" s="19" t="n">
        <f aca="false">IF($F44&lt;&gt;"Enrolled",0,IF($K44=0,0,IF($E44="Wednesday",Rates!$C$9,INDEX(Rates!$C$4:$C$7,MIN($K44,4))/$K44)))</f>
        <v>19.5</v>
      </c>
      <c r="M44" s="19" t="n">
        <f aca="false">ROUND($L44*$I44,2)</f>
        <v>409.5</v>
      </c>
      <c r="N44" s="11" t="n">
        <v>0</v>
      </c>
      <c r="O44" s="12" t="s">
        <v>357</v>
      </c>
      <c r="P44" s="19" t="n">
        <f aca="false">IF(ISNUMBER(SEARCH("reg",$O44)),Rates!$C$11,0)</f>
        <v>0</v>
      </c>
      <c r="Q44" s="19" t="n">
        <f aca="false">IF(ISNUMBER(SEARCH("supplies",$O44)),Rates!$C$12,0)</f>
        <v>25</v>
      </c>
      <c r="R44" s="19" t="n">
        <f aca="false">$M44-$N44+$P44+$Q44</f>
        <v>434.5</v>
      </c>
      <c r="S44" s="11" t="n">
        <v>434.5</v>
      </c>
      <c r="T44" s="19" t="n">
        <f aca="false">ROUND($R44-$S44,2)</f>
        <v>0</v>
      </c>
      <c r="U44" s="18" t="str">
        <f aca="false">IF(ABS($T44)&lt;0.02,"OK","CHECK")</f>
        <v>OK</v>
      </c>
      <c r="V44" s="12" t="s">
        <v>354</v>
      </c>
    </row>
    <row r="45" customFormat="false" ht="15" hidden="false" customHeight="false" outlineLevel="0" collapsed="false">
      <c r="A45" s="12" t="s">
        <v>442</v>
      </c>
      <c r="B45" s="12" t="s">
        <v>214</v>
      </c>
      <c r="C45" s="12" t="s">
        <v>215</v>
      </c>
      <c r="D45" s="12" t="s">
        <v>376</v>
      </c>
      <c r="E45" s="12" t="s">
        <v>352</v>
      </c>
      <c r="F45" s="12" t="s">
        <v>353</v>
      </c>
      <c r="G45" s="12" t="s">
        <v>106</v>
      </c>
      <c r="H45" s="12" t="s">
        <v>443</v>
      </c>
      <c r="I45" s="16" t="n">
        <f aca="false">IF($J45&lt;&gt;"",$J45,IF($E45="Wednesday",INDEX(Terms!$D$4:$D$5,MATCH($G45,Terms!$A$4:$A$5,0)),INDEX(Terms!$C$4:$C$5,MATCH($G45,Terms!$A$4:$A$5,0))))</f>
        <v>21</v>
      </c>
      <c r="J45" s="17"/>
      <c r="K45" s="18" t="n">
        <f aca="false">COUNTIFS($B$4:$B$500,$B45,$F$4:$F$500,"Enrolled")</f>
        <v>3</v>
      </c>
      <c r="L45" s="19" t="n">
        <f aca="false">IF($F45&lt;&gt;"Enrolled",0,IF($K45=0,0,IF($E45="Wednesday",Rates!$C$9,INDEX(Rates!$C$4:$C$7,MIN($K45,4))/$K45)))</f>
        <v>15.3333333333333</v>
      </c>
      <c r="M45" s="19" t="n">
        <f aca="false">ROUND($L45*$I45,2)</f>
        <v>322</v>
      </c>
      <c r="N45" s="11" t="n">
        <v>0</v>
      </c>
      <c r="O45" s="12" t="s">
        <v>357</v>
      </c>
      <c r="P45" s="19" t="n">
        <f aca="false">IF(ISNUMBER(SEARCH("reg",$O45)),Rates!$C$11,0)</f>
        <v>0</v>
      </c>
      <c r="Q45" s="19" t="n">
        <f aca="false">IF(ISNUMBER(SEARCH("supplies",$O45)),Rates!$C$12,0)</f>
        <v>25</v>
      </c>
      <c r="R45" s="19" t="n">
        <f aca="false">$M45-$N45+$P45+$Q45</f>
        <v>347</v>
      </c>
      <c r="S45" s="11" t="n">
        <v>347</v>
      </c>
      <c r="T45" s="19" t="n">
        <f aca="false">ROUND($R45-$S45,2)</f>
        <v>0</v>
      </c>
      <c r="U45" s="18" t="str">
        <f aca="false">IF(ABS($T45)&lt;0.02,"OK","CHECK")</f>
        <v>OK</v>
      </c>
      <c r="V45" s="12"/>
    </row>
    <row r="46" customFormat="false" ht="15" hidden="false" customHeight="false" outlineLevel="0" collapsed="false">
      <c r="A46" s="12" t="s">
        <v>444</v>
      </c>
      <c r="B46" s="12" t="s">
        <v>214</v>
      </c>
      <c r="C46" s="12" t="s">
        <v>215</v>
      </c>
      <c r="D46" s="12" t="s">
        <v>417</v>
      </c>
      <c r="E46" s="12" t="s">
        <v>352</v>
      </c>
      <c r="F46" s="12" t="s">
        <v>353</v>
      </c>
      <c r="G46" s="12" t="s">
        <v>106</v>
      </c>
      <c r="H46" s="12" t="s">
        <v>216</v>
      </c>
      <c r="I46" s="16" t="n">
        <f aca="false">IF($J46&lt;&gt;"",$J46,IF($E46="Wednesday",INDEX(Terms!$D$4:$D$5,MATCH($G46,Terms!$A$4:$A$5,0)),INDEX(Terms!$C$4:$C$5,MATCH($G46,Terms!$A$4:$A$5,0))))</f>
        <v>21</v>
      </c>
      <c r="J46" s="17"/>
      <c r="K46" s="18" t="n">
        <f aca="false">COUNTIFS($B$4:$B$500,$B46,$F$4:$F$500,"Enrolled")</f>
        <v>3</v>
      </c>
      <c r="L46" s="19" t="n">
        <f aca="false">IF($F46&lt;&gt;"Enrolled",0,IF($K46=0,0,IF($E46="Wednesday",Rates!$C$9,INDEX(Rates!$C$4:$C$7,MIN($K46,4))/$K46)))</f>
        <v>15.3333333333333</v>
      </c>
      <c r="M46" s="19" t="n">
        <f aca="false">ROUND($L46*$I46,2)</f>
        <v>322</v>
      </c>
      <c r="N46" s="11" t="n">
        <v>0</v>
      </c>
      <c r="O46" s="12"/>
      <c r="P46" s="19" t="n">
        <f aca="false">IF(ISNUMBER(SEARCH("reg",$O46)),Rates!$C$11,0)</f>
        <v>0</v>
      </c>
      <c r="Q46" s="19" t="n">
        <f aca="false">IF(ISNUMBER(SEARCH("supplies",$O46)),Rates!$C$12,0)</f>
        <v>0</v>
      </c>
      <c r="R46" s="19" t="n">
        <f aca="false">$M46-$N46+$P46+$Q46</f>
        <v>322</v>
      </c>
      <c r="S46" s="11" t="n">
        <v>322</v>
      </c>
      <c r="T46" s="19" t="n">
        <f aca="false">ROUND($R46-$S46,2)</f>
        <v>0</v>
      </c>
      <c r="U46" s="18" t="str">
        <f aca="false">IF(ABS($T46)&lt;0.02,"OK","CHECK")</f>
        <v>OK</v>
      </c>
      <c r="V46" s="12" t="s">
        <v>354</v>
      </c>
    </row>
    <row r="47" customFormat="false" ht="15" hidden="false" customHeight="false" outlineLevel="0" collapsed="false">
      <c r="A47" s="12" t="s">
        <v>445</v>
      </c>
      <c r="B47" s="12" t="s">
        <v>214</v>
      </c>
      <c r="C47" s="12" t="s">
        <v>215</v>
      </c>
      <c r="D47" s="12" t="s">
        <v>427</v>
      </c>
      <c r="E47" s="12" t="s">
        <v>352</v>
      </c>
      <c r="F47" s="12" t="s">
        <v>353</v>
      </c>
      <c r="G47" s="12" t="s">
        <v>106</v>
      </c>
      <c r="H47" s="12" t="s">
        <v>216</v>
      </c>
      <c r="I47" s="16" t="n">
        <f aca="false">IF($J47&lt;&gt;"",$J47,IF($E47="Wednesday",INDEX(Terms!$D$4:$D$5,MATCH($G47,Terms!$A$4:$A$5,0)),INDEX(Terms!$C$4:$C$5,MATCH($G47,Terms!$A$4:$A$5,0))))</f>
        <v>21</v>
      </c>
      <c r="J47" s="17"/>
      <c r="K47" s="18" t="n">
        <f aca="false">COUNTIFS($B$4:$B$500,$B47,$F$4:$F$500,"Enrolled")</f>
        <v>3</v>
      </c>
      <c r="L47" s="19" t="n">
        <f aca="false">IF($F47&lt;&gt;"Enrolled",0,IF($K47=0,0,IF($E47="Wednesday",Rates!$C$9,INDEX(Rates!$C$4:$C$7,MIN($K47,4))/$K47)))</f>
        <v>15.3333333333333</v>
      </c>
      <c r="M47" s="19" t="n">
        <f aca="false">ROUND($L47*$I47,2)</f>
        <v>322</v>
      </c>
      <c r="N47" s="11" t="n">
        <v>0</v>
      </c>
      <c r="O47" s="12" t="s">
        <v>400</v>
      </c>
      <c r="P47" s="19" t="n">
        <f aca="false">IF(ISNUMBER(SEARCH("reg",$O47)),Rates!$C$11,0)</f>
        <v>25</v>
      </c>
      <c r="Q47" s="19" t="n">
        <f aca="false">IF(ISNUMBER(SEARCH("supplies",$O47)),Rates!$C$12,0)</f>
        <v>25</v>
      </c>
      <c r="R47" s="19" t="n">
        <f aca="false">$M47-$N47+$P47+$Q47</f>
        <v>372</v>
      </c>
      <c r="S47" s="11" t="n">
        <v>372</v>
      </c>
      <c r="T47" s="19" t="n">
        <f aca="false">ROUND($R47-$S47,2)</f>
        <v>0</v>
      </c>
      <c r="U47" s="18" t="str">
        <f aca="false">IF(ABS($T47)&lt;0.02,"OK","CHECK")</f>
        <v>OK</v>
      </c>
      <c r="V47" s="12"/>
    </row>
    <row r="48" customFormat="false" ht="15" hidden="false" customHeight="false" outlineLevel="0" collapsed="false">
      <c r="A48" s="12" t="s">
        <v>446</v>
      </c>
      <c r="B48" s="12" t="s">
        <v>217</v>
      </c>
      <c r="C48" s="12" t="s">
        <v>218</v>
      </c>
      <c r="D48" s="12" t="s">
        <v>447</v>
      </c>
      <c r="E48" s="12" t="s">
        <v>352</v>
      </c>
      <c r="F48" s="12" t="s">
        <v>353</v>
      </c>
      <c r="G48" s="12" t="s">
        <v>106</v>
      </c>
      <c r="H48" s="12" t="s">
        <v>219</v>
      </c>
      <c r="I48" s="16" t="n">
        <f aca="false">IF($J48&lt;&gt;"",$J48,IF($E48="Wednesday",INDEX(Terms!$D$4:$D$5,MATCH($G48,Terms!$A$4:$A$5,0)),INDEX(Terms!$C$4:$C$5,MATCH($G48,Terms!$A$4:$A$5,0))))</f>
        <v>21</v>
      </c>
      <c r="J48" s="17"/>
      <c r="K48" s="18" t="n">
        <f aca="false">COUNTIFS($B$4:$B$500,$B48,$F$4:$F$500,"Enrolled")</f>
        <v>1</v>
      </c>
      <c r="L48" s="19" t="n">
        <f aca="false">IF($F48&lt;&gt;"Enrolled",0,IF($K48=0,0,IF($E48="Wednesday",Rates!$C$9,INDEX(Rates!$C$4:$C$7,MIN($K48,4))/$K48)))</f>
        <v>19.5</v>
      </c>
      <c r="M48" s="19" t="n">
        <f aca="false">ROUND($L48*$I48,2)</f>
        <v>409.5</v>
      </c>
      <c r="N48" s="11" t="n">
        <v>0</v>
      </c>
      <c r="O48" s="12"/>
      <c r="P48" s="19" t="n">
        <f aca="false">IF(ISNUMBER(SEARCH("reg",$O48)),Rates!$C$11,0)</f>
        <v>0</v>
      </c>
      <c r="Q48" s="19" t="n">
        <f aca="false">IF(ISNUMBER(SEARCH("supplies",$O48)),Rates!$C$12,0)</f>
        <v>0</v>
      </c>
      <c r="R48" s="19" t="n">
        <f aca="false">$M48-$N48+$P48+$Q48</f>
        <v>409.5</v>
      </c>
      <c r="S48" s="11" t="n">
        <v>409.5</v>
      </c>
      <c r="T48" s="19" t="n">
        <f aca="false">ROUND($R48-$S48,2)</f>
        <v>0</v>
      </c>
      <c r="U48" s="18" t="str">
        <f aca="false">IF(ABS($T48)&lt;0.02,"OK","CHECK")</f>
        <v>OK</v>
      </c>
      <c r="V48" s="12"/>
    </row>
    <row r="49" customFormat="false" ht="15" hidden="false" customHeight="false" outlineLevel="0" collapsed="false">
      <c r="A49" s="12" t="s">
        <v>448</v>
      </c>
      <c r="B49" s="12" t="s">
        <v>220</v>
      </c>
      <c r="C49" s="12" t="s">
        <v>221</v>
      </c>
      <c r="D49" s="12" t="s">
        <v>449</v>
      </c>
      <c r="E49" s="12" t="s">
        <v>352</v>
      </c>
      <c r="F49" s="12" t="s">
        <v>353</v>
      </c>
      <c r="G49" s="12" t="s">
        <v>106</v>
      </c>
      <c r="H49" s="12" t="s">
        <v>450</v>
      </c>
      <c r="I49" s="16" t="n">
        <f aca="false">IF($J49&lt;&gt;"",$J49,IF($E49="Wednesday",INDEX(Terms!$D$4:$D$5,MATCH($G49,Terms!$A$4:$A$5,0)),INDEX(Terms!$C$4:$C$5,MATCH($G49,Terms!$A$4:$A$5,0))))</f>
        <v>21</v>
      </c>
      <c r="J49" s="17"/>
      <c r="K49" s="18" t="n">
        <f aca="false">COUNTIFS($B$4:$B$500,$B49,$F$4:$F$500,"Enrolled")</f>
        <v>4</v>
      </c>
      <c r="L49" s="19" t="n">
        <f aca="false">IF($F49&lt;&gt;"Enrolled",0,IF($K49=0,0,IF($E49="Wednesday",Rates!$C$9,INDEX(Rates!$C$4:$C$7,MIN($K49,4))/$K49)))</f>
        <v>14.275</v>
      </c>
      <c r="M49" s="19" t="n">
        <f aca="false">ROUND($L49*$I49,2)</f>
        <v>299.78</v>
      </c>
      <c r="N49" s="11" t="n">
        <v>0</v>
      </c>
      <c r="O49" s="12" t="s">
        <v>357</v>
      </c>
      <c r="P49" s="19" t="n">
        <f aca="false">IF(ISNUMBER(SEARCH("reg",$O49)),Rates!$C$11,0)</f>
        <v>0</v>
      </c>
      <c r="Q49" s="19" t="n">
        <f aca="false">IF(ISNUMBER(SEARCH("supplies",$O49)),Rates!$C$12,0)</f>
        <v>25</v>
      </c>
      <c r="R49" s="19" t="n">
        <f aca="false">$M49-$N49+$P49+$Q49</f>
        <v>324.78</v>
      </c>
      <c r="S49" s="11" t="n">
        <v>324.78</v>
      </c>
      <c r="T49" s="19" t="n">
        <f aca="false">ROUND($R49-$S49,2)</f>
        <v>0</v>
      </c>
      <c r="U49" s="18" t="str">
        <f aca="false">IF(ABS($T49)&lt;0.02,"OK","CHECK")</f>
        <v>OK</v>
      </c>
      <c r="V49" s="12" t="s">
        <v>354</v>
      </c>
    </row>
    <row r="50" customFormat="false" ht="15" hidden="false" customHeight="false" outlineLevel="0" collapsed="false">
      <c r="A50" s="12" t="s">
        <v>451</v>
      </c>
      <c r="B50" s="12" t="s">
        <v>220</v>
      </c>
      <c r="C50" s="12" t="s">
        <v>221</v>
      </c>
      <c r="D50" s="12" t="s">
        <v>452</v>
      </c>
      <c r="E50" s="12" t="s">
        <v>352</v>
      </c>
      <c r="F50" s="12" t="s">
        <v>353</v>
      </c>
      <c r="G50" s="12" t="s">
        <v>106</v>
      </c>
      <c r="H50" s="12" t="s">
        <v>222</v>
      </c>
      <c r="I50" s="16" t="n">
        <f aca="false">IF($J50&lt;&gt;"",$J50,IF($E50="Wednesday",INDEX(Terms!$D$4:$D$5,MATCH($G50,Terms!$A$4:$A$5,0)),INDEX(Terms!$C$4:$C$5,MATCH($G50,Terms!$A$4:$A$5,0))))</f>
        <v>21</v>
      </c>
      <c r="J50" s="17"/>
      <c r="K50" s="18" t="n">
        <f aca="false">COUNTIFS($B$4:$B$500,$B50,$F$4:$F$500,"Enrolled")</f>
        <v>4</v>
      </c>
      <c r="L50" s="19" t="n">
        <f aca="false">IF($F50&lt;&gt;"Enrolled",0,IF($K50=0,0,IF($E50="Wednesday",Rates!$C$9,INDEX(Rates!$C$4:$C$7,MIN($K50,4))/$K50)))</f>
        <v>14.275</v>
      </c>
      <c r="M50" s="19" t="n">
        <f aca="false">ROUND($L50*$I50,2)</f>
        <v>299.78</v>
      </c>
      <c r="N50" s="11" t="n">
        <v>0</v>
      </c>
      <c r="O50" s="12" t="s">
        <v>357</v>
      </c>
      <c r="P50" s="19" t="n">
        <f aca="false">IF(ISNUMBER(SEARCH("reg",$O50)),Rates!$C$11,0)</f>
        <v>0</v>
      </c>
      <c r="Q50" s="19" t="n">
        <f aca="false">IF(ISNUMBER(SEARCH("supplies",$O50)),Rates!$C$12,0)</f>
        <v>25</v>
      </c>
      <c r="R50" s="19" t="n">
        <f aca="false">$M50-$N50+$P50+$Q50</f>
        <v>324.78</v>
      </c>
      <c r="S50" s="11" t="n">
        <v>324.78</v>
      </c>
      <c r="T50" s="19" t="n">
        <f aca="false">ROUND($R50-$S50,2)</f>
        <v>0</v>
      </c>
      <c r="U50" s="18" t="str">
        <f aca="false">IF(ABS($T50)&lt;0.02,"OK","CHECK")</f>
        <v>OK</v>
      </c>
      <c r="V50" s="12" t="s">
        <v>374</v>
      </c>
    </row>
    <row r="51" customFormat="false" ht="15" hidden="false" customHeight="false" outlineLevel="0" collapsed="false">
      <c r="A51" s="12" t="s">
        <v>453</v>
      </c>
      <c r="B51" s="12" t="s">
        <v>220</v>
      </c>
      <c r="C51" s="12" t="s">
        <v>221</v>
      </c>
      <c r="D51" s="12" t="s">
        <v>454</v>
      </c>
      <c r="E51" s="12" t="s">
        <v>352</v>
      </c>
      <c r="F51" s="12" t="s">
        <v>353</v>
      </c>
      <c r="G51" s="12" t="s">
        <v>106</v>
      </c>
      <c r="H51" s="12" t="s">
        <v>222</v>
      </c>
      <c r="I51" s="16" t="n">
        <f aca="false">IF($J51&lt;&gt;"",$J51,IF($E51="Wednesday",INDEX(Terms!$D$4:$D$5,MATCH($G51,Terms!$A$4:$A$5,0)),INDEX(Terms!$C$4:$C$5,MATCH($G51,Terms!$A$4:$A$5,0))))</f>
        <v>21</v>
      </c>
      <c r="J51" s="17"/>
      <c r="K51" s="18" t="n">
        <f aca="false">COUNTIFS($B$4:$B$500,$B51,$F$4:$F$500,"Enrolled")</f>
        <v>4</v>
      </c>
      <c r="L51" s="19" t="n">
        <f aca="false">IF($F51&lt;&gt;"Enrolled",0,IF($K51=0,0,IF($E51="Wednesday",Rates!$C$9,INDEX(Rates!$C$4:$C$7,MIN($K51,4))/$K51)))</f>
        <v>14.275</v>
      </c>
      <c r="M51" s="19" t="n">
        <f aca="false">ROUND($L51*$I51,2)</f>
        <v>299.78</v>
      </c>
      <c r="N51" s="11" t="n">
        <v>0</v>
      </c>
      <c r="O51" s="12" t="s">
        <v>357</v>
      </c>
      <c r="P51" s="19" t="n">
        <f aca="false">IF(ISNUMBER(SEARCH("reg",$O51)),Rates!$C$11,0)</f>
        <v>0</v>
      </c>
      <c r="Q51" s="19" t="n">
        <f aca="false">IF(ISNUMBER(SEARCH("supplies",$O51)),Rates!$C$12,0)</f>
        <v>25</v>
      </c>
      <c r="R51" s="19" t="n">
        <f aca="false">$M51-$N51+$P51+$Q51</f>
        <v>324.78</v>
      </c>
      <c r="S51" s="11" t="n">
        <v>324.78</v>
      </c>
      <c r="T51" s="19" t="n">
        <f aca="false">ROUND($R51-$S51,2)</f>
        <v>0</v>
      </c>
      <c r="U51" s="18" t="str">
        <f aca="false">IF(ABS($T51)&lt;0.02,"OK","CHECK")</f>
        <v>OK</v>
      </c>
      <c r="V51" s="12" t="s">
        <v>354</v>
      </c>
    </row>
    <row r="52" customFormat="false" ht="15" hidden="false" customHeight="false" outlineLevel="0" collapsed="false">
      <c r="A52" s="12" t="s">
        <v>455</v>
      </c>
      <c r="B52" s="12" t="s">
        <v>220</v>
      </c>
      <c r="C52" s="12" t="s">
        <v>221</v>
      </c>
      <c r="D52" s="12" t="s">
        <v>402</v>
      </c>
      <c r="E52" s="12" t="s">
        <v>352</v>
      </c>
      <c r="F52" s="12" t="s">
        <v>353</v>
      </c>
      <c r="G52" s="12" t="s">
        <v>106</v>
      </c>
      <c r="H52" s="12" t="s">
        <v>222</v>
      </c>
      <c r="I52" s="16" t="n">
        <f aca="false">IF($J52&lt;&gt;"",$J52,IF($E52="Wednesday",INDEX(Terms!$D$4:$D$5,MATCH($G52,Terms!$A$4:$A$5,0)),INDEX(Terms!$C$4:$C$5,MATCH($G52,Terms!$A$4:$A$5,0))))</f>
        <v>21</v>
      </c>
      <c r="J52" s="17"/>
      <c r="K52" s="18" t="n">
        <f aca="false">COUNTIFS($B$4:$B$500,$B52,$F$4:$F$500,"Enrolled")</f>
        <v>4</v>
      </c>
      <c r="L52" s="19" t="n">
        <f aca="false">IF($F52&lt;&gt;"Enrolled",0,IF($K52=0,0,IF($E52="Wednesday",Rates!$C$9,INDEX(Rates!$C$4:$C$7,MIN($K52,4))/$K52)))</f>
        <v>14.275</v>
      </c>
      <c r="M52" s="19" t="n">
        <f aca="false">ROUND($L52*$I52,2)</f>
        <v>299.78</v>
      </c>
      <c r="N52" s="11" t="n">
        <v>0</v>
      </c>
      <c r="O52" s="12" t="s">
        <v>357</v>
      </c>
      <c r="P52" s="19" t="n">
        <f aca="false">IF(ISNUMBER(SEARCH("reg",$O52)),Rates!$C$11,0)</f>
        <v>0</v>
      </c>
      <c r="Q52" s="19" t="n">
        <f aca="false">IF(ISNUMBER(SEARCH("supplies",$O52)),Rates!$C$12,0)</f>
        <v>25</v>
      </c>
      <c r="R52" s="19" t="n">
        <f aca="false">$M52-$N52+$P52+$Q52</f>
        <v>324.78</v>
      </c>
      <c r="S52" s="11" t="n">
        <v>324.78</v>
      </c>
      <c r="T52" s="19" t="n">
        <f aca="false">ROUND($R52-$S52,2)</f>
        <v>0</v>
      </c>
      <c r="U52" s="18" t="str">
        <f aca="false">IF(ABS($T52)&lt;0.02,"OK","CHECK")</f>
        <v>OK</v>
      </c>
      <c r="V52" s="12" t="s">
        <v>354</v>
      </c>
    </row>
    <row r="53" customFormat="false" ht="15" hidden="false" customHeight="false" outlineLevel="0" collapsed="false">
      <c r="A53" s="12" t="s">
        <v>456</v>
      </c>
      <c r="B53" s="12" t="s">
        <v>224</v>
      </c>
      <c r="C53" s="12" t="s">
        <v>225</v>
      </c>
      <c r="D53" s="12" t="s">
        <v>383</v>
      </c>
      <c r="E53" s="12" t="s">
        <v>352</v>
      </c>
      <c r="F53" s="12" t="s">
        <v>353</v>
      </c>
      <c r="G53" s="12" t="s">
        <v>106</v>
      </c>
      <c r="H53" s="12" t="s">
        <v>226</v>
      </c>
      <c r="I53" s="16" t="n">
        <f aca="false">IF($J53&lt;&gt;"",$J53,IF($E53="Wednesday",INDEX(Terms!$D$4:$D$5,MATCH($G53,Terms!$A$4:$A$5,0)),INDEX(Terms!$C$4:$C$5,MATCH($G53,Terms!$A$4:$A$5,0))))</f>
        <v>21</v>
      </c>
      <c r="J53" s="17"/>
      <c r="K53" s="18" t="n">
        <f aca="false">COUNTIFS($B$4:$B$500,$B53,$F$4:$F$500,"Enrolled")</f>
        <v>1</v>
      </c>
      <c r="L53" s="19" t="n">
        <f aca="false">IF($F53&lt;&gt;"Enrolled",0,IF($K53=0,0,IF($E53="Wednesday",Rates!$C$9,INDEX(Rates!$C$4:$C$7,MIN($K53,4))/$K53)))</f>
        <v>19.5</v>
      </c>
      <c r="M53" s="19" t="n">
        <f aca="false">ROUND($L53*$I53,2)</f>
        <v>409.5</v>
      </c>
      <c r="N53" s="11" t="n">
        <v>0</v>
      </c>
      <c r="O53" s="12" t="s">
        <v>357</v>
      </c>
      <c r="P53" s="19" t="n">
        <f aca="false">IF(ISNUMBER(SEARCH("reg",$O53)),Rates!$C$11,0)</f>
        <v>0</v>
      </c>
      <c r="Q53" s="19" t="n">
        <f aca="false">IF(ISNUMBER(SEARCH("supplies",$O53)),Rates!$C$12,0)</f>
        <v>25</v>
      </c>
      <c r="R53" s="19" t="n">
        <f aca="false">$M53-$N53+$P53+$Q53</f>
        <v>434.5</v>
      </c>
      <c r="S53" s="11" t="n">
        <v>434.5</v>
      </c>
      <c r="T53" s="19" t="n">
        <f aca="false">ROUND($R53-$S53,2)</f>
        <v>0</v>
      </c>
      <c r="U53" s="18" t="str">
        <f aca="false">IF(ABS($T53)&lt;0.02,"OK","CHECK")</f>
        <v>OK</v>
      </c>
      <c r="V53" s="12" t="s">
        <v>354</v>
      </c>
    </row>
    <row r="54" customFormat="false" ht="15" hidden="false" customHeight="false" outlineLevel="0" collapsed="false">
      <c r="A54" s="12" t="s">
        <v>457</v>
      </c>
      <c r="B54" s="12" t="s">
        <v>227</v>
      </c>
      <c r="C54" s="12" t="s">
        <v>228</v>
      </c>
      <c r="D54" s="12" t="s">
        <v>458</v>
      </c>
      <c r="E54" s="12" t="s">
        <v>352</v>
      </c>
      <c r="F54" s="12" t="s">
        <v>353</v>
      </c>
      <c r="G54" s="12" t="s">
        <v>106</v>
      </c>
      <c r="H54" s="12" t="s">
        <v>229</v>
      </c>
      <c r="I54" s="16" t="n">
        <f aca="false">IF($J54&lt;&gt;"",$J54,IF($E54="Wednesday",INDEX(Terms!$D$4:$D$5,MATCH($G54,Terms!$A$4:$A$5,0)),INDEX(Terms!$C$4:$C$5,MATCH($G54,Terms!$A$4:$A$5,0))))</f>
        <v>21</v>
      </c>
      <c r="J54" s="17"/>
      <c r="K54" s="18" t="n">
        <f aca="false">COUNTIFS($B$4:$B$500,$B54,$F$4:$F$500,"Enrolled")</f>
        <v>1</v>
      </c>
      <c r="L54" s="19" t="n">
        <f aca="false">IF($F54&lt;&gt;"Enrolled",0,IF($K54=0,0,IF($E54="Wednesday",Rates!$C$9,INDEX(Rates!$C$4:$C$7,MIN($K54,4))/$K54)))</f>
        <v>19.5</v>
      </c>
      <c r="M54" s="19" t="n">
        <f aca="false">ROUND($L54*$I54,2)</f>
        <v>409.5</v>
      </c>
      <c r="N54" s="11" t="n">
        <v>0</v>
      </c>
      <c r="O54" s="12" t="s">
        <v>357</v>
      </c>
      <c r="P54" s="19" t="n">
        <f aca="false">IF(ISNUMBER(SEARCH("reg",$O54)),Rates!$C$11,0)</f>
        <v>0</v>
      </c>
      <c r="Q54" s="19" t="n">
        <f aca="false">IF(ISNUMBER(SEARCH("supplies",$O54)),Rates!$C$12,0)</f>
        <v>25</v>
      </c>
      <c r="R54" s="19" t="n">
        <f aca="false">$M54-$N54+$P54+$Q54</f>
        <v>434.5</v>
      </c>
      <c r="S54" s="11" t="n">
        <v>434.5</v>
      </c>
      <c r="T54" s="19" t="n">
        <f aca="false">ROUND($R54-$S54,2)</f>
        <v>0</v>
      </c>
      <c r="U54" s="18" t="str">
        <f aca="false">IF(ABS($T54)&lt;0.02,"OK","CHECK")</f>
        <v>OK</v>
      </c>
      <c r="V54" s="12"/>
    </row>
    <row r="55" customFormat="false" ht="15" hidden="false" customHeight="false" outlineLevel="0" collapsed="false">
      <c r="A55" s="12" t="s">
        <v>459</v>
      </c>
      <c r="B55" s="12" t="s">
        <v>230</v>
      </c>
      <c r="C55" s="12" t="s">
        <v>231</v>
      </c>
      <c r="D55" s="12" t="s">
        <v>460</v>
      </c>
      <c r="E55" s="12" t="s">
        <v>352</v>
      </c>
      <c r="F55" s="12" t="s">
        <v>353</v>
      </c>
      <c r="G55" s="12" t="s">
        <v>106</v>
      </c>
      <c r="H55" s="12" t="s">
        <v>232</v>
      </c>
      <c r="I55" s="16" t="n">
        <f aca="false">IF($J55&lt;&gt;"",$J55,IF($E55="Wednesday",INDEX(Terms!$D$4:$D$5,MATCH($G55,Terms!$A$4:$A$5,0)),INDEX(Terms!$C$4:$C$5,MATCH($G55,Terms!$A$4:$A$5,0))))</f>
        <v>21</v>
      </c>
      <c r="J55" s="17"/>
      <c r="K55" s="18" t="n">
        <f aca="false">COUNTIFS($B$4:$B$500,$B55,$F$4:$F$500,"Enrolled")</f>
        <v>1</v>
      </c>
      <c r="L55" s="19" t="n">
        <f aca="false">IF($F55&lt;&gt;"Enrolled",0,IF($K55=0,0,IF($E55="Wednesday",Rates!$C$9,INDEX(Rates!$C$4:$C$7,MIN($K55,4))/$K55)))</f>
        <v>19.5</v>
      </c>
      <c r="M55" s="19" t="n">
        <f aca="false">ROUND($L55*$I55,2)</f>
        <v>409.5</v>
      </c>
      <c r="N55" s="11" t="n">
        <v>0</v>
      </c>
      <c r="O55" s="12" t="s">
        <v>436</v>
      </c>
      <c r="P55" s="19" t="n">
        <f aca="false">IF(ISNUMBER(SEARCH("reg",$O55)),Rates!$C$11,0)</f>
        <v>25</v>
      </c>
      <c r="Q55" s="19" t="n">
        <f aca="false">IF(ISNUMBER(SEARCH("supplies",$O55)),Rates!$C$12,0)</f>
        <v>0</v>
      </c>
      <c r="R55" s="19" t="n">
        <f aca="false">$M55-$N55+$P55+$Q55</f>
        <v>434.5</v>
      </c>
      <c r="S55" s="11" t="n">
        <v>434.5</v>
      </c>
      <c r="T55" s="19" t="n">
        <f aca="false">ROUND($R55-$S55,2)</f>
        <v>0</v>
      </c>
      <c r="U55" s="18" t="str">
        <f aca="false">IF(ABS($T55)&lt;0.02,"OK","CHECK")</f>
        <v>OK</v>
      </c>
      <c r="V55" s="12"/>
    </row>
    <row r="56" customFormat="false" ht="15" hidden="false" customHeight="false" outlineLevel="0" collapsed="false">
      <c r="A56" s="12" t="s">
        <v>461</v>
      </c>
      <c r="B56" s="12" t="s">
        <v>234</v>
      </c>
      <c r="C56" s="12" t="s">
        <v>235</v>
      </c>
      <c r="D56" s="12" t="s">
        <v>462</v>
      </c>
      <c r="E56" s="12" t="s">
        <v>352</v>
      </c>
      <c r="F56" s="12" t="s">
        <v>353</v>
      </c>
      <c r="G56" s="12" t="s">
        <v>106</v>
      </c>
      <c r="H56" s="12" t="s">
        <v>236</v>
      </c>
      <c r="I56" s="16" t="n">
        <f aca="false">IF($J56&lt;&gt;"",$J56,IF($E56="Wednesday",INDEX(Terms!$D$4:$D$5,MATCH($G56,Terms!$A$4:$A$5,0)),INDEX(Terms!$C$4:$C$5,MATCH($G56,Terms!$A$4:$A$5,0))))</f>
        <v>21</v>
      </c>
      <c r="J56" s="17"/>
      <c r="K56" s="18" t="n">
        <f aca="false">COUNTIFS($B$4:$B$500,$B56,$F$4:$F$500,"Enrolled")</f>
        <v>1</v>
      </c>
      <c r="L56" s="19" t="n">
        <f aca="false">IF($F56&lt;&gt;"Enrolled",0,IF($K56=0,0,IF($E56="Wednesday",Rates!$C$9,INDEX(Rates!$C$4:$C$7,MIN($K56,4))/$K56)))</f>
        <v>19.5</v>
      </c>
      <c r="M56" s="19" t="n">
        <f aca="false">ROUND($L56*$I56,2)</f>
        <v>409.5</v>
      </c>
      <c r="N56" s="11" t="n">
        <v>0</v>
      </c>
      <c r="O56" s="12" t="s">
        <v>357</v>
      </c>
      <c r="P56" s="19" t="n">
        <f aca="false">IF(ISNUMBER(SEARCH("reg",$O56)),Rates!$C$11,0)</f>
        <v>0</v>
      </c>
      <c r="Q56" s="19" t="n">
        <f aca="false">IF(ISNUMBER(SEARCH("supplies",$O56)),Rates!$C$12,0)</f>
        <v>25</v>
      </c>
      <c r="R56" s="19" t="n">
        <f aca="false">$M56-$N56+$P56+$Q56</f>
        <v>434.5</v>
      </c>
      <c r="S56" s="11" t="n">
        <v>434.5</v>
      </c>
      <c r="T56" s="19" t="n">
        <f aca="false">ROUND($R56-$S56,2)</f>
        <v>0</v>
      </c>
      <c r="U56" s="18" t="str">
        <f aca="false">IF(ABS($T56)&lt;0.02,"OK","CHECK")</f>
        <v>OK</v>
      </c>
      <c r="V56" s="12" t="s">
        <v>374</v>
      </c>
    </row>
    <row r="57" customFormat="false" ht="15" hidden="false" customHeight="false" outlineLevel="0" collapsed="false">
      <c r="A57" s="12" t="s">
        <v>463</v>
      </c>
      <c r="B57" s="12" t="s">
        <v>238</v>
      </c>
      <c r="C57" s="12" t="s">
        <v>239</v>
      </c>
      <c r="D57" s="12" t="s">
        <v>390</v>
      </c>
      <c r="E57" s="12" t="s">
        <v>352</v>
      </c>
      <c r="F57" s="12" t="s">
        <v>353</v>
      </c>
      <c r="G57" s="12" t="s">
        <v>106</v>
      </c>
      <c r="H57" s="12" t="s">
        <v>240</v>
      </c>
      <c r="I57" s="16" t="n">
        <f aca="false">IF($J57&lt;&gt;"",$J57,IF($E57="Wednesday",INDEX(Terms!$D$4:$D$5,MATCH($G57,Terms!$A$4:$A$5,0)),INDEX(Terms!$C$4:$C$5,MATCH($G57,Terms!$A$4:$A$5,0))))</f>
        <v>21</v>
      </c>
      <c r="J57" s="17"/>
      <c r="K57" s="18" t="n">
        <f aca="false">COUNTIFS($B$4:$B$500,$B57,$F$4:$F$500,"Enrolled")</f>
        <v>3</v>
      </c>
      <c r="L57" s="19" t="n">
        <f aca="false">IF($F57&lt;&gt;"Enrolled",0,IF($K57=0,0,IF($E57="Wednesday",Rates!$C$9,INDEX(Rates!$C$4:$C$7,MIN($K57,4))/$K57)))</f>
        <v>15.3333333333333</v>
      </c>
      <c r="M57" s="19" t="n">
        <f aca="false">ROUND($L57*$I57,2)</f>
        <v>322</v>
      </c>
      <c r="N57" s="11" t="n">
        <v>0</v>
      </c>
      <c r="O57" s="12" t="s">
        <v>357</v>
      </c>
      <c r="P57" s="19" t="n">
        <f aca="false">IF(ISNUMBER(SEARCH("reg",$O57)),Rates!$C$11,0)</f>
        <v>0</v>
      </c>
      <c r="Q57" s="19" t="n">
        <f aca="false">IF(ISNUMBER(SEARCH("supplies",$O57)),Rates!$C$12,0)</f>
        <v>25</v>
      </c>
      <c r="R57" s="19" t="n">
        <f aca="false">$M57-$N57+$P57+$Q57</f>
        <v>347</v>
      </c>
      <c r="S57" s="11" t="n">
        <v>347</v>
      </c>
      <c r="T57" s="19" t="n">
        <f aca="false">ROUND($R57-$S57,2)</f>
        <v>0</v>
      </c>
      <c r="U57" s="18" t="str">
        <f aca="false">IF(ABS($T57)&lt;0.02,"OK","CHECK")</f>
        <v>OK</v>
      </c>
      <c r="V57" s="12" t="s">
        <v>354</v>
      </c>
    </row>
    <row r="58" customFormat="false" ht="15" hidden="false" customHeight="false" outlineLevel="0" collapsed="false">
      <c r="A58" s="12" t="s">
        <v>464</v>
      </c>
      <c r="B58" s="12" t="s">
        <v>238</v>
      </c>
      <c r="C58" s="12" t="s">
        <v>239</v>
      </c>
      <c r="D58" s="12" t="s">
        <v>465</v>
      </c>
      <c r="E58" s="12" t="s">
        <v>352</v>
      </c>
      <c r="F58" s="12" t="s">
        <v>353</v>
      </c>
      <c r="G58" s="12" t="s">
        <v>106</v>
      </c>
      <c r="H58" s="12" t="s">
        <v>466</v>
      </c>
      <c r="I58" s="16" t="n">
        <f aca="false">IF($J58&lt;&gt;"",$J58,IF($E58="Wednesday",INDEX(Terms!$D$4:$D$5,MATCH($G58,Terms!$A$4:$A$5,0)),INDEX(Terms!$C$4:$C$5,MATCH($G58,Terms!$A$4:$A$5,0))))</f>
        <v>21</v>
      </c>
      <c r="J58" s="17"/>
      <c r="K58" s="18" t="n">
        <f aca="false">COUNTIFS($B$4:$B$500,$B58,$F$4:$F$500,"Enrolled")</f>
        <v>3</v>
      </c>
      <c r="L58" s="19" t="n">
        <f aca="false">IF($F58&lt;&gt;"Enrolled",0,IF($K58=0,0,IF($E58="Wednesday",Rates!$C$9,INDEX(Rates!$C$4:$C$7,MIN($K58,4))/$K58)))</f>
        <v>15.3333333333333</v>
      </c>
      <c r="M58" s="19" t="n">
        <f aca="false">ROUND($L58*$I58,2)</f>
        <v>322</v>
      </c>
      <c r="N58" s="11" t="n">
        <v>0</v>
      </c>
      <c r="O58" s="12" t="s">
        <v>357</v>
      </c>
      <c r="P58" s="19" t="n">
        <f aca="false">IF(ISNUMBER(SEARCH("reg",$O58)),Rates!$C$11,0)</f>
        <v>0</v>
      </c>
      <c r="Q58" s="19" t="n">
        <f aca="false">IF(ISNUMBER(SEARCH("supplies",$O58)),Rates!$C$12,0)</f>
        <v>25</v>
      </c>
      <c r="R58" s="19" t="n">
        <f aca="false">$M58-$N58+$P58+$Q58</f>
        <v>347</v>
      </c>
      <c r="S58" s="11" t="n">
        <v>347</v>
      </c>
      <c r="T58" s="19" t="n">
        <f aca="false">ROUND($R58-$S58,2)</f>
        <v>0</v>
      </c>
      <c r="U58" s="18" t="str">
        <f aca="false">IF(ABS($T58)&lt;0.02,"OK","CHECK")</f>
        <v>OK</v>
      </c>
      <c r="V58" s="12" t="s">
        <v>354</v>
      </c>
    </row>
    <row r="59" customFormat="false" ht="15" hidden="false" customHeight="false" outlineLevel="0" collapsed="false">
      <c r="A59" s="12" t="s">
        <v>467</v>
      </c>
      <c r="B59" s="12" t="s">
        <v>238</v>
      </c>
      <c r="C59" s="12" t="s">
        <v>239</v>
      </c>
      <c r="D59" s="12" t="s">
        <v>468</v>
      </c>
      <c r="E59" s="12" t="s">
        <v>352</v>
      </c>
      <c r="F59" s="12" t="s">
        <v>353</v>
      </c>
      <c r="G59" s="12" t="s">
        <v>106</v>
      </c>
      <c r="H59" s="12" t="s">
        <v>240</v>
      </c>
      <c r="I59" s="16" t="n">
        <f aca="false">IF($J59&lt;&gt;"",$J59,IF($E59="Wednesday",INDEX(Terms!$D$4:$D$5,MATCH($G59,Terms!$A$4:$A$5,0)),INDEX(Terms!$C$4:$C$5,MATCH($G59,Terms!$A$4:$A$5,0))))</f>
        <v>21</v>
      </c>
      <c r="J59" s="17"/>
      <c r="K59" s="18" t="n">
        <f aca="false">COUNTIFS($B$4:$B$500,$B59,$F$4:$F$500,"Enrolled")</f>
        <v>3</v>
      </c>
      <c r="L59" s="19" t="n">
        <f aca="false">IF($F59&lt;&gt;"Enrolled",0,IF($K59=0,0,IF($E59="Wednesday",Rates!$C$9,INDEX(Rates!$C$4:$C$7,MIN($K59,4))/$K59)))</f>
        <v>15.3333333333333</v>
      </c>
      <c r="M59" s="19" t="n">
        <f aca="false">ROUND($L59*$I59,2)</f>
        <v>322</v>
      </c>
      <c r="N59" s="11" t="n">
        <v>0</v>
      </c>
      <c r="O59" s="12" t="s">
        <v>357</v>
      </c>
      <c r="P59" s="19" t="n">
        <f aca="false">IF(ISNUMBER(SEARCH("reg",$O59)),Rates!$C$11,0)</f>
        <v>0</v>
      </c>
      <c r="Q59" s="19" t="n">
        <f aca="false">IF(ISNUMBER(SEARCH("supplies",$O59)),Rates!$C$12,0)</f>
        <v>25</v>
      </c>
      <c r="R59" s="19" t="n">
        <f aca="false">$M59-$N59+$P59+$Q59</f>
        <v>347</v>
      </c>
      <c r="S59" s="11" t="n">
        <v>347</v>
      </c>
      <c r="T59" s="19" t="n">
        <f aca="false">ROUND($R59-$S59,2)</f>
        <v>0</v>
      </c>
      <c r="U59" s="18" t="str">
        <f aca="false">IF(ABS($T59)&lt;0.02,"OK","CHECK")</f>
        <v>OK</v>
      </c>
      <c r="V59" s="12"/>
    </row>
    <row r="60" customFormat="false" ht="15" hidden="false" customHeight="false" outlineLevel="0" collapsed="false">
      <c r="A60" s="12" t="s">
        <v>469</v>
      </c>
      <c r="B60" s="12" t="s">
        <v>242</v>
      </c>
      <c r="C60" s="12" t="s">
        <v>243</v>
      </c>
      <c r="D60" s="12" t="s">
        <v>398</v>
      </c>
      <c r="E60" s="12" t="s">
        <v>352</v>
      </c>
      <c r="F60" s="12" t="s">
        <v>353</v>
      </c>
      <c r="G60" s="12" t="s">
        <v>106</v>
      </c>
      <c r="H60" s="12" t="s">
        <v>244</v>
      </c>
      <c r="I60" s="16" t="n">
        <f aca="false">IF($J60&lt;&gt;"",$J60,IF($E60="Wednesday",INDEX(Terms!$D$4:$D$5,MATCH($G60,Terms!$A$4:$A$5,0)),INDEX(Terms!$C$4:$C$5,MATCH($G60,Terms!$A$4:$A$5,0))))</f>
        <v>21</v>
      </c>
      <c r="J60" s="17"/>
      <c r="K60" s="18" t="n">
        <f aca="false">COUNTIFS($B$4:$B$500,$B60,$F$4:$F$500,"Enrolled")</f>
        <v>3</v>
      </c>
      <c r="L60" s="19" t="n">
        <f aca="false">IF($F60&lt;&gt;"Enrolled",0,IF($K60=0,0,IF($E60="Wednesday",Rates!$C$9,INDEX(Rates!$C$4:$C$7,MIN($K60,4))/$K60)))</f>
        <v>15.3333333333333</v>
      </c>
      <c r="M60" s="19" t="n">
        <f aca="false">ROUND($L60*$I60,2)</f>
        <v>322</v>
      </c>
      <c r="N60" s="11" t="n">
        <v>0</v>
      </c>
      <c r="O60" s="12" t="s">
        <v>357</v>
      </c>
      <c r="P60" s="19" t="n">
        <f aca="false">IF(ISNUMBER(SEARCH("reg",$O60)),Rates!$C$11,0)</f>
        <v>0</v>
      </c>
      <c r="Q60" s="19" t="n">
        <f aca="false">IF(ISNUMBER(SEARCH("supplies",$O60)),Rates!$C$12,0)</f>
        <v>25</v>
      </c>
      <c r="R60" s="19" t="n">
        <f aca="false">$M60-$N60+$P60+$Q60</f>
        <v>347</v>
      </c>
      <c r="S60" s="11" t="n">
        <v>347</v>
      </c>
      <c r="T60" s="19" t="n">
        <f aca="false">ROUND($R60-$S60,2)</f>
        <v>0</v>
      </c>
      <c r="U60" s="18" t="str">
        <f aca="false">IF(ABS($T60)&lt;0.02,"OK","CHECK")</f>
        <v>OK</v>
      </c>
      <c r="V60" s="12" t="s">
        <v>354</v>
      </c>
    </row>
    <row r="61" customFormat="false" ht="15" hidden="false" customHeight="false" outlineLevel="0" collapsed="false">
      <c r="A61" s="12" t="s">
        <v>470</v>
      </c>
      <c r="B61" s="12" t="s">
        <v>242</v>
      </c>
      <c r="C61" s="12" t="s">
        <v>243</v>
      </c>
      <c r="D61" s="12" t="s">
        <v>365</v>
      </c>
      <c r="E61" s="12" t="s">
        <v>352</v>
      </c>
      <c r="F61" s="12" t="s">
        <v>353</v>
      </c>
      <c r="G61" s="12" t="s">
        <v>106</v>
      </c>
      <c r="H61" s="12" t="s">
        <v>471</v>
      </c>
      <c r="I61" s="16" t="n">
        <f aca="false">IF($J61&lt;&gt;"",$J61,IF($E61="Wednesday",INDEX(Terms!$D$4:$D$5,MATCH($G61,Terms!$A$4:$A$5,0)),INDEX(Terms!$C$4:$C$5,MATCH($G61,Terms!$A$4:$A$5,0))))</f>
        <v>21</v>
      </c>
      <c r="J61" s="17"/>
      <c r="K61" s="18" t="n">
        <f aca="false">COUNTIFS($B$4:$B$500,$B61,$F$4:$F$500,"Enrolled")</f>
        <v>3</v>
      </c>
      <c r="L61" s="19" t="n">
        <f aca="false">IF($F61&lt;&gt;"Enrolled",0,IF($K61=0,0,IF($E61="Wednesday",Rates!$C$9,INDEX(Rates!$C$4:$C$7,MIN($K61,4))/$K61)))</f>
        <v>15.3333333333333</v>
      </c>
      <c r="M61" s="19" t="n">
        <f aca="false">ROUND($L61*$I61,2)</f>
        <v>322</v>
      </c>
      <c r="N61" s="11" t="n">
        <v>0</v>
      </c>
      <c r="O61" s="12" t="s">
        <v>357</v>
      </c>
      <c r="P61" s="19" t="n">
        <f aca="false">IF(ISNUMBER(SEARCH("reg",$O61)),Rates!$C$11,0)</f>
        <v>0</v>
      </c>
      <c r="Q61" s="19" t="n">
        <f aca="false">IF(ISNUMBER(SEARCH("supplies",$O61)),Rates!$C$12,0)</f>
        <v>25</v>
      </c>
      <c r="R61" s="19" t="n">
        <f aca="false">$M61-$N61+$P61+$Q61</f>
        <v>347</v>
      </c>
      <c r="S61" s="11" t="n">
        <v>347</v>
      </c>
      <c r="T61" s="19" t="n">
        <f aca="false">ROUND($R61-$S61,2)</f>
        <v>0</v>
      </c>
      <c r="U61" s="18" t="str">
        <f aca="false">IF(ABS($T61)&lt;0.02,"OK","CHECK")</f>
        <v>OK</v>
      </c>
      <c r="V61" s="12"/>
    </row>
    <row r="62" customFormat="false" ht="15" hidden="false" customHeight="false" outlineLevel="0" collapsed="false">
      <c r="A62" s="12" t="s">
        <v>472</v>
      </c>
      <c r="B62" s="12" t="s">
        <v>242</v>
      </c>
      <c r="C62" s="12" t="s">
        <v>243</v>
      </c>
      <c r="D62" s="12" t="s">
        <v>473</v>
      </c>
      <c r="E62" s="12" t="s">
        <v>352</v>
      </c>
      <c r="F62" s="12" t="s">
        <v>353</v>
      </c>
      <c r="G62" s="12" t="s">
        <v>106</v>
      </c>
      <c r="H62" s="12" t="s">
        <v>244</v>
      </c>
      <c r="I62" s="16" t="n">
        <f aca="false">IF($J62&lt;&gt;"",$J62,IF($E62="Wednesday",INDEX(Terms!$D$4:$D$5,MATCH($G62,Terms!$A$4:$A$5,0)),INDEX(Terms!$C$4:$C$5,MATCH($G62,Terms!$A$4:$A$5,0))))</f>
        <v>21</v>
      </c>
      <c r="J62" s="17"/>
      <c r="K62" s="18" t="n">
        <f aca="false">COUNTIFS($B$4:$B$500,$B62,$F$4:$F$500,"Enrolled")</f>
        <v>3</v>
      </c>
      <c r="L62" s="19" t="n">
        <f aca="false">IF($F62&lt;&gt;"Enrolled",0,IF($K62=0,0,IF($E62="Wednesday",Rates!$C$9,INDEX(Rates!$C$4:$C$7,MIN($K62,4))/$K62)))</f>
        <v>15.3333333333333</v>
      </c>
      <c r="M62" s="19" t="n">
        <f aca="false">ROUND($L62*$I62,2)</f>
        <v>322</v>
      </c>
      <c r="N62" s="11" t="n">
        <v>0</v>
      </c>
      <c r="O62" s="12" t="s">
        <v>357</v>
      </c>
      <c r="P62" s="19" t="n">
        <f aca="false">IF(ISNUMBER(SEARCH("reg",$O62)),Rates!$C$11,0)</f>
        <v>0</v>
      </c>
      <c r="Q62" s="19" t="n">
        <f aca="false">IF(ISNUMBER(SEARCH("supplies",$O62)),Rates!$C$12,0)</f>
        <v>25</v>
      </c>
      <c r="R62" s="19" t="n">
        <f aca="false">$M62-$N62+$P62+$Q62</f>
        <v>347</v>
      </c>
      <c r="S62" s="11" t="n">
        <v>347</v>
      </c>
      <c r="T62" s="19" t="n">
        <f aca="false">ROUND($R62-$S62,2)</f>
        <v>0</v>
      </c>
      <c r="U62" s="18" t="str">
        <f aca="false">IF(ABS($T62)&lt;0.02,"OK","CHECK")</f>
        <v>OK</v>
      </c>
      <c r="V62" s="12"/>
    </row>
    <row r="63" customFormat="false" ht="15" hidden="false" customHeight="false" outlineLevel="0" collapsed="false">
      <c r="A63" s="12" t="s">
        <v>474</v>
      </c>
      <c r="B63" s="12" t="s">
        <v>246</v>
      </c>
      <c r="C63" s="12" t="s">
        <v>247</v>
      </c>
      <c r="D63" s="12" t="s">
        <v>475</v>
      </c>
      <c r="E63" s="12" t="s">
        <v>352</v>
      </c>
      <c r="F63" s="12" t="s">
        <v>353</v>
      </c>
      <c r="G63" s="12" t="s">
        <v>106</v>
      </c>
      <c r="H63" s="12" t="s">
        <v>248</v>
      </c>
      <c r="I63" s="16" t="n">
        <f aca="false">IF($J63&lt;&gt;"",$J63,IF($E63="Wednesday",INDEX(Terms!$D$4:$D$5,MATCH($G63,Terms!$A$4:$A$5,0)),INDEX(Terms!$C$4:$C$5,MATCH($G63,Terms!$A$4:$A$5,0))))</f>
        <v>21</v>
      </c>
      <c r="J63" s="17"/>
      <c r="K63" s="18" t="n">
        <f aca="false">COUNTIFS($B$4:$B$500,$B63,$F$4:$F$500,"Enrolled")</f>
        <v>2</v>
      </c>
      <c r="L63" s="19" t="n">
        <f aca="false">IF($F63&lt;&gt;"Enrolled",0,IF($K63=0,0,IF($E63="Wednesday",Rates!$C$9,INDEX(Rates!$C$4:$C$7,MIN($K63,4))/$K63)))</f>
        <v>17.25</v>
      </c>
      <c r="M63" s="19" t="n">
        <f aca="false">ROUND($L63*$I63,2)</f>
        <v>362.25</v>
      </c>
      <c r="N63" s="11" t="n">
        <v>0</v>
      </c>
      <c r="O63" s="12" t="s">
        <v>357</v>
      </c>
      <c r="P63" s="19" t="n">
        <f aca="false">IF(ISNUMBER(SEARCH("reg",$O63)),Rates!$C$11,0)</f>
        <v>0</v>
      </c>
      <c r="Q63" s="19" t="n">
        <f aca="false">IF(ISNUMBER(SEARCH("supplies",$O63)),Rates!$C$12,0)</f>
        <v>25</v>
      </c>
      <c r="R63" s="19" t="n">
        <f aca="false">$M63-$N63+$P63+$Q63</f>
        <v>387.25</v>
      </c>
      <c r="S63" s="11" t="n">
        <v>387.25</v>
      </c>
      <c r="T63" s="19" t="n">
        <f aca="false">ROUND($R63-$S63,2)</f>
        <v>0</v>
      </c>
      <c r="U63" s="18" t="str">
        <f aca="false">IF(ABS($T63)&lt;0.02,"OK","CHECK")</f>
        <v>OK</v>
      </c>
      <c r="V63" s="12" t="s">
        <v>374</v>
      </c>
    </row>
    <row r="64" customFormat="false" ht="15" hidden="false" customHeight="false" outlineLevel="0" collapsed="false">
      <c r="A64" s="12" t="s">
        <v>476</v>
      </c>
      <c r="B64" s="12" t="s">
        <v>246</v>
      </c>
      <c r="C64" s="12" t="s">
        <v>247</v>
      </c>
      <c r="D64" s="12" t="s">
        <v>477</v>
      </c>
      <c r="E64" s="12" t="s">
        <v>352</v>
      </c>
      <c r="F64" s="12" t="s">
        <v>353</v>
      </c>
      <c r="G64" s="12" t="s">
        <v>106</v>
      </c>
      <c r="H64" s="12" t="s">
        <v>478</v>
      </c>
      <c r="I64" s="16" t="n">
        <f aca="false">IF($J64&lt;&gt;"",$J64,IF($E64="Wednesday",INDEX(Terms!$D$4:$D$5,MATCH($G64,Terms!$A$4:$A$5,0)),INDEX(Terms!$C$4:$C$5,MATCH($G64,Terms!$A$4:$A$5,0))))</f>
        <v>21</v>
      </c>
      <c r="J64" s="17"/>
      <c r="K64" s="18" t="n">
        <f aca="false">COUNTIFS($B$4:$B$500,$B64,$F$4:$F$500,"Enrolled")</f>
        <v>2</v>
      </c>
      <c r="L64" s="19" t="n">
        <f aca="false">IF($F64&lt;&gt;"Enrolled",0,IF($K64=0,0,IF($E64="Wednesday",Rates!$C$9,INDEX(Rates!$C$4:$C$7,MIN($K64,4))/$K64)))</f>
        <v>17.25</v>
      </c>
      <c r="M64" s="19" t="n">
        <f aca="false">ROUND($L64*$I64,2)</f>
        <v>362.25</v>
      </c>
      <c r="N64" s="11" t="n">
        <v>0</v>
      </c>
      <c r="O64" s="12" t="s">
        <v>357</v>
      </c>
      <c r="P64" s="19" t="n">
        <f aca="false">IF(ISNUMBER(SEARCH("reg",$O64)),Rates!$C$11,0)</f>
        <v>0</v>
      </c>
      <c r="Q64" s="19" t="n">
        <f aca="false">IF(ISNUMBER(SEARCH("supplies",$O64)),Rates!$C$12,0)</f>
        <v>25</v>
      </c>
      <c r="R64" s="19" t="n">
        <f aca="false">$M64-$N64+$P64+$Q64</f>
        <v>387.25</v>
      </c>
      <c r="S64" s="11" t="n">
        <v>387.25</v>
      </c>
      <c r="T64" s="19" t="n">
        <f aca="false">ROUND($R64-$S64,2)</f>
        <v>0</v>
      </c>
      <c r="U64" s="18" t="str">
        <f aca="false">IF(ABS($T64)&lt;0.02,"OK","CHECK")</f>
        <v>OK</v>
      </c>
      <c r="V64" s="12" t="s">
        <v>354</v>
      </c>
    </row>
    <row r="65" customFormat="false" ht="15" hidden="false" customHeight="false" outlineLevel="0" collapsed="false">
      <c r="A65" s="12" t="s">
        <v>479</v>
      </c>
      <c r="B65" s="12" t="s">
        <v>250</v>
      </c>
      <c r="C65" s="12" t="s">
        <v>251</v>
      </c>
      <c r="D65" s="12" t="s">
        <v>409</v>
      </c>
      <c r="E65" s="12" t="s">
        <v>352</v>
      </c>
      <c r="F65" s="12" t="s">
        <v>353</v>
      </c>
      <c r="G65" s="12" t="s">
        <v>106</v>
      </c>
      <c r="H65" s="12" t="s">
        <v>480</v>
      </c>
      <c r="I65" s="16" t="n">
        <f aca="false">IF($J65&lt;&gt;"",$J65,IF($E65="Wednesday",INDEX(Terms!$D$4:$D$5,MATCH($G65,Terms!$A$4:$A$5,0)),INDEX(Terms!$C$4:$C$5,MATCH($G65,Terms!$A$4:$A$5,0))))</f>
        <v>21</v>
      </c>
      <c r="J65" s="17"/>
      <c r="K65" s="18" t="n">
        <f aca="false">COUNTIFS($B$4:$B$500,$B65,$F$4:$F$500,"Enrolled")</f>
        <v>2</v>
      </c>
      <c r="L65" s="19" t="n">
        <f aca="false">IF($F65&lt;&gt;"Enrolled",0,IF($K65=0,0,IF($E65="Wednesday",Rates!$C$9,INDEX(Rates!$C$4:$C$7,MIN($K65,4))/$K65)))</f>
        <v>17.25</v>
      </c>
      <c r="M65" s="19" t="n">
        <f aca="false">ROUND($L65*$I65,2)</f>
        <v>362.25</v>
      </c>
      <c r="N65" s="11" t="n">
        <v>0</v>
      </c>
      <c r="O65" s="12" t="s">
        <v>357</v>
      </c>
      <c r="P65" s="19" t="n">
        <f aca="false">IF(ISNUMBER(SEARCH("reg",$O65)),Rates!$C$11,0)</f>
        <v>0</v>
      </c>
      <c r="Q65" s="19" t="n">
        <f aca="false">IF(ISNUMBER(SEARCH("supplies",$O65)),Rates!$C$12,0)</f>
        <v>25</v>
      </c>
      <c r="R65" s="19" t="n">
        <f aca="false">$M65-$N65+$P65+$Q65</f>
        <v>387.25</v>
      </c>
      <c r="S65" s="11" t="n">
        <v>387.25</v>
      </c>
      <c r="T65" s="19" t="n">
        <f aca="false">ROUND($R65-$S65,2)</f>
        <v>0</v>
      </c>
      <c r="U65" s="18" t="str">
        <f aca="false">IF(ABS($T65)&lt;0.02,"OK","CHECK")</f>
        <v>OK</v>
      </c>
      <c r="V65" s="12"/>
    </row>
    <row r="66" customFormat="false" ht="15" hidden="false" customHeight="false" outlineLevel="0" collapsed="false">
      <c r="A66" s="12" t="s">
        <v>481</v>
      </c>
      <c r="B66" s="12" t="s">
        <v>250</v>
      </c>
      <c r="C66" s="12" t="s">
        <v>251</v>
      </c>
      <c r="D66" s="12" t="s">
        <v>482</v>
      </c>
      <c r="E66" s="12" t="s">
        <v>352</v>
      </c>
      <c r="F66" s="12" t="s">
        <v>353</v>
      </c>
      <c r="G66" s="12" t="s">
        <v>106</v>
      </c>
      <c r="H66" s="12" t="s">
        <v>252</v>
      </c>
      <c r="I66" s="16" t="n">
        <f aca="false">IF($J66&lt;&gt;"",$J66,IF($E66="Wednesday",INDEX(Terms!$D$4:$D$5,MATCH($G66,Terms!$A$4:$A$5,0)),INDEX(Terms!$C$4:$C$5,MATCH($G66,Terms!$A$4:$A$5,0))))</f>
        <v>21</v>
      </c>
      <c r="J66" s="17"/>
      <c r="K66" s="18" t="n">
        <f aca="false">COUNTIFS($B$4:$B$500,$B66,$F$4:$F$500,"Enrolled")</f>
        <v>2</v>
      </c>
      <c r="L66" s="19" t="n">
        <f aca="false">IF($F66&lt;&gt;"Enrolled",0,IF($K66=0,0,IF($E66="Wednesday",Rates!$C$9,INDEX(Rates!$C$4:$C$7,MIN($K66,4))/$K66)))</f>
        <v>17.25</v>
      </c>
      <c r="M66" s="19" t="n">
        <f aca="false">ROUND($L66*$I66,2)</f>
        <v>362.25</v>
      </c>
      <c r="N66" s="11" t="n">
        <v>0</v>
      </c>
      <c r="O66" s="12" t="s">
        <v>400</v>
      </c>
      <c r="P66" s="19" t="n">
        <f aca="false">IF(ISNUMBER(SEARCH("reg",$O66)),Rates!$C$11,0)</f>
        <v>25</v>
      </c>
      <c r="Q66" s="19" t="n">
        <f aca="false">IF(ISNUMBER(SEARCH("supplies",$O66)),Rates!$C$12,0)</f>
        <v>25</v>
      </c>
      <c r="R66" s="19" t="n">
        <f aca="false">$M66-$N66+$P66+$Q66</f>
        <v>412.25</v>
      </c>
      <c r="S66" s="11" t="n">
        <v>412.25</v>
      </c>
      <c r="T66" s="19" t="n">
        <f aca="false">ROUND($R66-$S66,2)</f>
        <v>0</v>
      </c>
      <c r="U66" s="18" t="str">
        <f aca="false">IF(ABS($T66)&lt;0.02,"OK","CHECK")</f>
        <v>OK</v>
      </c>
      <c r="V66" s="12"/>
    </row>
    <row r="67" customFormat="false" ht="15" hidden="false" customHeight="false" outlineLevel="0" collapsed="false">
      <c r="A67" s="12" t="s">
        <v>483</v>
      </c>
      <c r="B67" s="12" t="s">
        <v>253</v>
      </c>
      <c r="C67" s="12" t="s">
        <v>254</v>
      </c>
      <c r="D67" s="12" t="s">
        <v>484</v>
      </c>
      <c r="E67" s="12" t="s">
        <v>352</v>
      </c>
      <c r="F67" s="12" t="s">
        <v>353</v>
      </c>
      <c r="G67" s="12" t="s">
        <v>106</v>
      </c>
      <c r="H67" s="12" t="s">
        <v>485</v>
      </c>
      <c r="I67" s="16" t="n">
        <f aca="false">IF($J67&lt;&gt;"",$J67,IF($E67="Wednesday",INDEX(Terms!$D$4:$D$5,MATCH($G67,Terms!$A$4:$A$5,0)),INDEX(Terms!$C$4:$C$5,MATCH($G67,Terms!$A$4:$A$5,0))))</f>
        <v>21</v>
      </c>
      <c r="J67" s="17"/>
      <c r="K67" s="18" t="n">
        <f aca="false">COUNTIFS($B$4:$B$500,$B67,$F$4:$F$500,"Enrolled")</f>
        <v>2</v>
      </c>
      <c r="L67" s="19" t="n">
        <f aca="false">IF($F67&lt;&gt;"Enrolled",0,IF($K67=0,0,IF($E67="Wednesday",Rates!$C$9,INDEX(Rates!$C$4:$C$7,MIN($K67,4))/$K67)))</f>
        <v>17.25</v>
      </c>
      <c r="M67" s="19" t="n">
        <f aca="false">ROUND($L67*$I67,2)</f>
        <v>362.25</v>
      </c>
      <c r="N67" s="11" t="n">
        <v>0</v>
      </c>
      <c r="O67" s="12" t="s">
        <v>357</v>
      </c>
      <c r="P67" s="19" t="n">
        <f aca="false">IF(ISNUMBER(SEARCH("reg",$O67)),Rates!$C$11,0)</f>
        <v>0</v>
      </c>
      <c r="Q67" s="19" t="n">
        <f aca="false">IF(ISNUMBER(SEARCH("supplies",$O67)),Rates!$C$12,0)</f>
        <v>25</v>
      </c>
      <c r="R67" s="19" t="n">
        <f aca="false">$M67-$N67+$P67+$Q67</f>
        <v>387.25</v>
      </c>
      <c r="S67" s="11" t="n">
        <v>387.25</v>
      </c>
      <c r="T67" s="19" t="n">
        <f aca="false">ROUND($R67-$S67,2)</f>
        <v>0</v>
      </c>
      <c r="U67" s="18" t="str">
        <f aca="false">IF(ABS($T67)&lt;0.02,"OK","CHECK")</f>
        <v>OK</v>
      </c>
      <c r="V67" s="12" t="s">
        <v>354</v>
      </c>
    </row>
    <row r="68" customFormat="false" ht="15" hidden="false" customHeight="false" outlineLevel="0" collapsed="false">
      <c r="A68" s="12" t="s">
        <v>486</v>
      </c>
      <c r="B68" s="12" t="s">
        <v>253</v>
      </c>
      <c r="C68" s="12" t="s">
        <v>254</v>
      </c>
      <c r="D68" s="12" t="s">
        <v>487</v>
      </c>
      <c r="E68" s="12" t="s">
        <v>352</v>
      </c>
      <c r="F68" s="12" t="s">
        <v>353</v>
      </c>
      <c r="G68" s="12" t="s">
        <v>106</v>
      </c>
      <c r="H68" s="12" t="s">
        <v>255</v>
      </c>
      <c r="I68" s="16" t="n">
        <f aca="false">IF($J68&lt;&gt;"",$J68,IF($E68="Wednesday",INDEX(Terms!$D$4:$D$5,MATCH($G68,Terms!$A$4:$A$5,0)),INDEX(Terms!$C$4:$C$5,MATCH($G68,Terms!$A$4:$A$5,0))))</f>
        <v>21</v>
      </c>
      <c r="J68" s="17"/>
      <c r="K68" s="18" t="n">
        <f aca="false">COUNTIFS($B$4:$B$500,$B68,$F$4:$F$500,"Enrolled")</f>
        <v>2</v>
      </c>
      <c r="L68" s="19" t="n">
        <f aca="false">IF($F68&lt;&gt;"Enrolled",0,IF($K68=0,0,IF($E68="Wednesday",Rates!$C$9,INDEX(Rates!$C$4:$C$7,MIN($K68,4))/$K68)))</f>
        <v>17.25</v>
      </c>
      <c r="M68" s="19" t="n">
        <f aca="false">ROUND($L68*$I68,2)</f>
        <v>362.25</v>
      </c>
      <c r="N68" s="11" t="n">
        <v>0</v>
      </c>
      <c r="O68" s="12" t="s">
        <v>357</v>
      </c>
      <c r="P68" s="19" t="n">
        <f aca="false">IF(ISNUMBER(SEARCH("reg",$O68)),Rates!$C$11,0)</f>
        <v>0</v>
      </c>
      <c r="Q68" s="19" t="n">
        <f aca="false">IF(ISNUMBER(SEARCH("supplies",$O68)),Rates!$C$12,0)</f>
        <v>25</v>
      </c>
      <c r="R68" s="19" t="n">
        <f aca="false">$M68-$N68+$P68+$Q68</f>
        <v>387.25</v>
      </c>
      <c r="S68" s="11" t="n">
        <v>387.25</v>
      </c>
      <c r="T68" s="19" t="n">
        <f aca="false">ROUND($R68-$S68,2)</f>
        <v>0</v>
      </c>
      <c r="U68" s="18" t="str">
        <f aca="false">IF(ABS($T68)&lt;0.02,"OK","CHECK")</f>
        <v>OK</v>
      </c>
      <c r="V68" s="12"/>
    </row>
    <row r="69" customFormat="false" ht="15" hidden="false" customHeight="false" outlineLevel="0" collapsed="false">
      <c r="A69" s="12" t="s">
        <v>488</v>
      </c>
      <c r="B69" s="12" t="s">
        <v>257</v>
      </c>
      <c r="C69" s="12" t="s">
        <v>258</v>
      </c>
      <c r="D69" s="12" t="s">
        <v>462</v>
      </c>
      <c r="E69" s="12" t="s">
        <v>352</v>
      </c>
      <c r="F69" s="12" t="s">
        <v>353</v>
      </c>
      <c r="G69" s="12" t="s">
        <v>106</v>
      </c>
      <c r="H69" s="12" t="s">
        <v>259</v>
      </c>
      <c r="I69" s="16" t="n">
        <f aca="false">IF($J69&lt;&gt;"",$J69,IF($E69="Wednesday",INDEX(Terms!$D$4:$D$5,MATCH($G69,Terms!$A$4:$A$5,0)),INDEX(Terms!$C$4:$C$5,MATCH($G69,Terms!$A$4:$A$5,0))))</f>
        <v>21</v>
      </c>
      <c r="J69" s="17"/>
      <c r="K69" s="18" t="n">
        <f aca="false">COUNTIFS($B$4:$B$500,$B69,$F$4:$F$500,"Enrolled")</f>
        <v>1</v>
      </c>
      <c r="L69" s="19" t="n">
        <f aca="false">IF($F69&lt;&gt;"Enrolled",0,IF($K69=0,0,IF($E69="Wednesday",Rates!$C$9,INDEX(Rates!$C$4:$C$7,MIN($K69,4))/$K69)))</f>
        <v>19.5</v>
      </c>
      <c r="M69" s="19" t="n">
        <f aca="false">ROUND($L69*$I69,2)</f>
        <v>409.5</v>
      </c>
      <c r="N69" s="11" t="n">
        <v>0</v>
      </c>
      <c r="O69" s="12" t="s">
        <v>357</v>
      </c>
      <c r="P69" s="19" t="n">
        <f aca="false">IF(ISNUMBER(SEARCH("reg",$O69)),Rates!$C$11,0)</f>
        <v>0</v>
      </c>
      <c r="Q69" s="19" t="n">
        <f aca="false">IF(ISNUMBER(SEARCH("supplies",$O69)),Rates!$C$12,0)</f>
        <v>25</v>
      </c>
      <c r="R69" s="19" t="n">
        <f aca="false">$M69-$N69+$P69+$Q69</f>
        <v>434.5</v>
      </c>
      <c r="S69" s="11" t="n">
        <v>434.5</v>
      </c>
      <c r="T69" s="19" t="n">
        <f aca="false">ROUND($R69-$S69,2)</f>
        <v>0</v>
      </c>
      <c r="U69" s="18" t="str">
        <f aca="false">IF(ABS($T69)&lt;0.02,"OK","CHECK")</f>
        <v>OK</v>
      </c>
      <c r="V69" s="12" t="s">
        <v>354</v>
      </c>
    </row>
    <row r="70" customFormat="false" ht="15" hidden="false" customHeight="false" outlineLevel="0" collapsed="false">
      <c r="A70" s="12" t="s">
        <v>489</v>
      </c>
      <c r="B70" s="12" t="s">
        <v>261</v>
      </c>
      <c r="C70" s="12" t="s">
        <v>262</v>
      </c>
      <c r="D70" s="12" t="s">
        <v>390</v>
      </c>
      <c r="E70" s="12" t="s">
        <v>352</v>
      </c>
      <c r="F70" s="12" t="s">
        <v>353</v>
      </c>
      <c r="G70" s="12" t="s">
        <v>106</v>
      </c>
      <c r="H70" s="12" t="s">
        <v>263</v>
      </c>
      <c r="I70" s="16" t="n">
        <f aca="false">IF($J70&lt;&gt;"",$J70,IF($E70="Wednesday",INDEX(Terms!$D$4:$D$5,MATCH($G70,Terms!$A$4:$A$5,0)),INDEX(Terms!$C$4:$C$5,MATCH($G70,Terms!$A$4:$A$5,0))))</f>
        <v>21</v>
      </c>
      <c r="J70" s="17"/>
      <c r="K70" s="18" t="n">
        <f aca="false">COUNTIFS($B$4:$B$500,$B70,$F$4:$F$500,"Enrolled")</f>
        <v>1</v>
      </c>
      <c r="L70" s="19" t="n">
        <f aca="false">IF($F70&lt;&gt;"Enrolled",0,IF($K70=0,0,IF($E70="Wednesday",Rates!$C$9,INDEX(Rates!$C$4:$C$7,MIN($K70,4))/$K70)))</f>
        <v>19.5</v>
      </c>
      <c r="M70" s="19" t="n">
        <f aca="false">ROUND($L70*$I70,2)</f>
        <v>409.5</v>
      </c>
      <c r="N70" s="11" t="n">
        <v>0</v>
      </c>
      <c r="O70" s="12" t="s">
        <v>357</v>
      </c>
      <c r="P70" s="19" t="n">
        <f aca="false">IF(ISNUMBER(SEARCH("reg",$O70)),Rates!$C$11,0)</f>
        <v>0</v>
      </c>
      <c r="Q70" s="19" t="n">
        <f aca="false">IF(ISNUMBER(SEARCH("supplies",$O70)),Rates!$C$12,0)</f>
        <v>25</v>
      </c>
      <c r="R70" s="19" t="n">
        <f aca="false">$M70-$N70+$P70+$Q70</f>
        <v>434.5</v>
      </c>
      <c r="S70" s="11" t="n">
        <v>434.5</v>
      </c>
      <c r="T70" s="19" t="n">
        <f aca="false">ROUND($R70-$S70,2)</f>
        <v>0</v>
      </c>
      <c r="U70" s="18" t="str">
        <f aca="false">IF(ABS($T70)&lt;0.02,"OK","CHECK")</f>
        <v>OK</v>
      </c>
      <c r="V70" s="12" t="s">
        <v>374</v>
      </c>
    </row>
    <row r="71" customFormat="false" ht="15" hidden="false" customHeight="false" outlineLevel="0" collapsed="false">
      <c r="A71" s="12" t="s">
        <v>490</v>
      </c>
      <c r="B71" s="12" t="s">
        <v>265</v>
      </c>
      <c r="C71" s="12" t="s">
        <v>266</v>
      </c>
      <c r="D71" s="12" t="s">
        <v>491</v>
      </c>
      <c r="E71" s="12" t="s">
        <v>352</v>
      </c>
      <c r="F71" s="12" t="s">
        <v>353</v>
      </c>
      <c r="G71" s="12" t="s">
        <v>106</v>
      </c>
      <c r="H71" s="12" t="s">
        <v>492</v>
      </c>
      <c r="I71" s="16" t="n">
        <f aca="false">IF($J71&lt;&gt;"",$J71,IF($E71="Wednesday",INDEX(Terms!$D$4:$D$5,MATCH($G71,Terms!$A$4:$A$5,0)),INDEX(Terms!$C$4:$C$5,MATCH($G71,Terms!$A$4:$A$5,0))))</f>
        <v>21</v>
      </c>
      <c r="J71" s="17"/>
      <c r="K71" s="18" t="n">
        <f aca="false">COUNTIFS($B$4:$B$500,$B71,$F$4:$F$500,"Enrolled")</f>
        <v>2</v>
      </c>
      <c r="L71" s="19" t="n">
        <f aca="false">IF($F71&lt;&gt;"Enrolled",0,IF($K71=0,0,IF($E71="Wednesday",Rates!$C$9,INDEX(Rates!$C$4:$C$7,MIN($K71,4))/$K71)))</f>
        <v>17.25</v>
      </c>
      <c r="M71" s="19" t="n">
        <f aca="false">ROUND($L71*$I71,2)</f>
        <v>362.25</v>
      </c>
      <c r="N71" s="11" t="n">
        <v>0</v>
      </c>
      <c r="O71" s="12" t="s">
        <v>357</v>
      </c>
      <c r="P71" s="19" t="n">
        <f aca="false">IF(ISNUMBER(SEARCH("reg",$O71)),Rates!$C$11,0)</f>
        <v>0</v>
      </c>
      <c r="Q71" s="19" t="n">
        <f aca="false">IF(ISNUMBER(SEARCH("supplies",$O71)),Rates!$C$12,0)</f>
        <v>25</v>
      </c>
      <c r="R71" s="19" t="n">
        <f aca="false">$M71-$N71+$P71+$Q71</f>
        <v>387.25</v>
      </c>
      <c r="S71" s="11" t="n">
        <v>387.25</v>
      </c>
      <c r="T71" s="19" t="n">
        <f aca="false">ROUND($R71-$S71,2)</f>
        <v>0</v>
      </c>
      <c r="U71" s="18" t="str">
        <f aca="false">IF(ABS($T71)&lt;0.02,"OK","CHECK")</f>
        <v>OK</v>
      </c>
      <c r="V71" s="12" t="s">
        <v>374</v>
      </c>
    </row>
    <row r="72" customFormat="false" ht="15" hidden="false" customHeight="false" outlineLevel="0" collapsed="false">
      <c r="A72" s="20" t="s">
        <v>493</v>
      </c>
      <c r="B72" s="20" t="s">
        <v>265</v>
      </c>
      <c r="C72" s="20" t="s">
        <v>266</v>
      </c>
      <c r="D72" s="20" t="s">
        <v>494</v>
      </c>
      <c r="E72" s="20" t="s">
        <v>352</v>
      </c>
      <c r="F72" s="20" t="s">
        <v>353</v>
      </c>
      <c r="G72" s="20" t="s">
        <v>106</v>
      </c>
      <c r="H72" s="20" t="s">
        <v>267</v>
      </c>
      <c r="I72" s="21" t="n">
        <f aca="false">IF($J72&lt;&gt;"",$J72,IF($E72="Wednesday",INDEX(Terms!$D$4:$D$5,MATCH($G72,Terms!$A$4:$A$5,0)),INDEX(Terms!$C$4:$C$5,MATCH($G72,Terms!$A$4:$A$5,0))))</f>
        <v>21</v>
      </c>
      <c r="J72" s="22"/>
      <c r="K72" s="23" t="n">
        <f aca="false">COUNTIFS($B$4:$B$500,$B72,$F$4:$F$500,"Enrolled")</f>
        <v>2</v>
      </c>
      <c r="L72" s="24" t="n">
        <f aca="false">IF($F72&lt;&gt;"Enrolled",0,IF($K72=0,0,IF($E72="Wednesday",Rates!$C$9,INDEX(Rates!$C$4:$C$7,MIN($K72,4))/$K72)))</f>
        <v>17.25</v>
      </c>
      <c r="M72" s="24" t="n">
        <f aca="false">ROUND($L72*$I72,2)</f>
        <v>362.25</v>
      </c>
      <c r="N72" s="25" t="n">
        <v>0</v>
      </c>
      <c r="O72" s="20" t="s">
        <v>357</v>
      </c>
      <c r="P72" s="24" t="n">
        <f aca="false">IF(ISNUMBER(SEARCH("reg",$O72)),Rates!$C$11,0)</f>
        <v>0</v>
      </c>
      <c r="Q72" s="24" t="n">
        <f aca="false">IF(ISNUMBER(SEARCH("supplies",$O72)),Rates!$C$12,0)</f>
        <v>25</v>
      </c>
      <c r="R72" s="24" t="n">
        <f aca="false">$M72-$N72+$P72+$Q72</f>
        <v>387.25</v>
      </c>
      <c r="S72" s="25" t="n">
        <v>380.25</v>
      </c>
      <c r="T72" s="24" t="n">
        <f aca="false">ROUND($R72-$S72,2)</f>
        <v>7</v>
      </c>
      <c r="U72" s="23" t="str">
        <f aca="false">IF(ABS($T72)&lt;0.02,"OK","CHECK")</f>
        <v>CHECK</v>
      </c>
      <c r="V72" s="20" t="s">
        <v>354</v>
      </c>
    </row>
    <row r="73" customFormat="false" ht="15" hidden="false" customHeight="false" outlineLevel="0" collapsed="false">
      <c r="A73" s="12" t="s">
        <v>495</v>
      </c>
      <c r="B73" s="12" t="s">
        <v>268</v>
      </c>
      <c r="C73" s="12" t="s">
        <v>269</v>
      </c>
      <c r="D73" s="12" t="s">
        <v>396</v>
      </c>
      <c r="E73" s="12" t="s">
        <v>352</v>
      </c>
      <c r="F73" s="12" t="s">
        <v>353</v>
      </c>
      <c r="G73" s="12" t="s">
        <v>106</v>
      </c>
      <c r="H73" s="12" t="s">
        <v>270</v>
      </c>
      <c r="I73" s="16" t="n">
        <f aca="false">IF($J73&lt;&gt;"",$J73,IF($E73="Wednesday",INDEX(Terms!$D$4:$D$5,MATCH($G73,Terms!$A$4:$A$5,0)),INDEX(Terms!$C$4:$C$5,MATCH($G73,Terms!$A$4:$A$5,0))))</f>
        <v>21</v>
      </c>
      <c r="J73" s="17"/>
      <c r="K73" s="18" t="n">
        <f aca="false">COUNTIFS($B$4:$B$500,$B73,$F$4:$F$500,"Enrolled")</f>
        <v>1</v>
      </c>
      <c r="L73" s="19" t="n">
        <f aca="false">IF($F73&lt;&gt;"Enrolled",0,IF($K73=0,0,IF($E73="Wednesday",Rates!$C$9,INDEX(Rates!$C$4:$C$7,MIN($K73,4))/$K73)))</f>
        <v>19.5</v>
      </c>
      <c r="M73" s="19" t="n">
        <f aca="false">ROUND($L73*$I73,2)</f>
        <v>409.5</v>
      </c>
      <c r="N73" s="11" t="n">
        <v>0</v>
      </c>
      <c r="O73" s="12"/>
      <c r="P73" s="19" t="n">
        <f aca="false">IF(ISNUMBER(SEARCH("reg",$O73)),Rates!$C$11,0)</f>
        <v>0</v>
      </c>
      <c r="Q73" s="19" t="n">
        <f aca="false">IF(ISNUMBER(SEARCH("supplies",$O73)),Rates!$C$12,0)</f>
        <v>0</v>
      </c>
      <c r="R73" s="19" t="n">
        <f aca="false">$M73-$N73+$P73+$Q73</f>
        <v>409.5</v>
      </c>
      <c r="S73" s="11" t="n">
        <v>409.5</v>
      </c>
      <c r="T73" s="19" t="n">
        <f aca="false">ROUND($R73-$S73,2)</f>
        <v>0</v>
      </c>
      <c r="U73" s="18" t="str">
        <f aca="false">IF(ABS($T73)&lt;0.02,"OK","CHECK")</f>
        <v>OK</v>
      </c>
      <c r="V73" s="12" t="s">
        <v>354</v>
      </c>
    </row>
    <row r="74" customFormat="false" ht="15" hidden="false" customHeight="false" outlineLevel="0" collapsed="false">
      <c r="A74" s="12" t="s">
        <v>496</v>
      </c>
      <c r="B74" s="12" t="s">
        <v>271</v>
      </c>
      <c r="C74" s="12" t="s">
        <v>272</v>
      </c>
      <c r="D74" s="12" t="s">
        <v>398</v>
      </c>
      <c r="E74" s="12" t="s">
        <v>352</v>
      </c>
      <c r="F74" s="12" t="s">
        <v>353</v>
      </c>
      <c r="G74" s="12" t="s">
        <v>106</v>
      </c>
      <c r="H74" s="12" t="s">
        <v>273</v>
      </c>
      <c r="I74" s="16" t="n">
        <f aca="false">IF($J74&lt;&gt;"",$J74,IF($E74="Wednesday",INDEX(Terms!$D$4:$D$5,MATCH($G74,Terms!$A$4:$A$5,0)),INDEX(Terms!$C$4:$C$5,MATCH($G74,Terms!$A$4:$A$5,0))))</f>
        <v>21</v>
      </c>
      <c r="J74" s="17"/>
      <c r="K74" s="18" t="n">
        <f aca="false">COUNTIFS($B$4:$B$500,$B74,$F$4:$F$500,"Enrolled")</f>
        <v>1</v>
      </c>
      <c r="L74" s="19" t="n">
        <f aca="false">IF($F74&lt;&gt;"Enrolled",0,IF($K74=0,0,IF($E74="Wednesday",Rates!$C$9,INDEX(Rates!$C$4:$C$7,MIN($K74,4))/$K74)))</f>
        <v>19.5</v>
      </c>
      <c r="M74" s="19" t="n">
        <f aca="false">ROUND($L74*$I74,2)</f>
        <v>409.5</v>
      </c>
      <c r="N74" s="11" t="n">
        <v>0</v>
      </c>
      <c r="O74" s="12" t="s">
        <v>357</v>
      </c>
      <c r="P74" s="19" t="n">
        <f aca="false">IF(ISNUMBER(SEARCH("reg",$O74)),Rates!$C$11,0)</f>
        <v>0</v>
      </c>
      <c r="Q74" s="19" t="n">
        <f aca="false">IF(ISNUMBER(SEARCH("supplies",$O74)),Rates!$C$12,0)</f>
        <v>25</v>
      </c>
      <c r="R74" s="19" t="n">
        <f aca="false">$M74-$N74+$P74+$Q74</f>
        <v>434.5</v>
      </c>
      <c r="S74" s="11" t="n">
        <v>434.5</v>
      </c>
      <c r="T74" s="19" t="n">
        <f aca="false">ROUND($R74-$S74,2)</f>
        <v>0</v>
      </c>
      <c r="U74" s="18" t="str">
        <f aca="false">IF(ABS($T74)&lt;0.02,"OK","CHECK")</f>
        <v>OK</v>
      </c>
      <c r="V74" s="12" t="s">
        <v>374</v>
      </c>
    </row>
    <row r="75" customFormat="false" ht="15" hidden="false" customHeight="false" outlineLevel="0" collapsed="false">
      <c r="A75" s="12" t="s">
        <v>497</v>
      </c>
      <c r="B75" s="12" t="s">
        <v>274</v>
      </c>
      <c r="C75" s="12" t="s">
        <v>275</v>
      </c>
      <c r="D75" s="12" t="s">
        <v>458</v>
      </c>
      <c r="E75" s="12" t="s">
        <v>352</v>
      </c>
      <c r="F75" s="12" t="s">
        <v>353</v>
      </c>
      <c r="G75" s="12" t="s">
        <v>106</v>
      </c>
      <c r="H75" s="12" t="s">
        <v>146</v>
      </c>
      <c r="I75" s="16" t="n">
        <f aca="false">IF($J75&lt;&gt;"",$J75,IF($E75="Wednesday",INDEX(Terms!$D$4:$D$5,MATCH($G75,Terms!$A$4:$A$5,0)),INDEX(Terms!$C$4:$C$5,MATCH($G75,Terms!$A$4:$A$5,0))))</f>
        <v>21</v>
      </c>
      <c r="J75" s="17"/>
      <c r="K75" s="18" t="n">
        <f aca="false">COUNTIFS($B$4:$B$500,$B75,$F$4:$F$500,"Enrolled")</f>
        <v>1</v>
      </c>
      <c r="L75" s="19" t="n">
        <f aca="false">IF($F75&lt;&gt;"Enrolled",0,IF($K75=0,0,IF($E75="Wednesday",Rates!$C$9,INDEX(Rates!$C$4:$C$7,MIN($K75,4))/$K75)))</f>
        <v>19.5</v>
      </c>
      <c r="M75" s="19" t="n">
        <f aca="false">ROUND($L75*$I75,2)</f>
        <v>409.5</v>
      </c>
      <c r="N75" s="11" t="n">
        <v>0</v>
      </c>
      <c r="O75" s="12"/>
      <c r="P75" s="19" t="n">
        <f aca="false">IF(ISNUMBER(SEARCH("reg",$O75)),Rates!$C$11,0)</f>
        <v>0</v>
      </c>
      <c r="Q75" s="19" t="n">
        <f aca="false">IF(ISNUMBER(SEARCH("supplies",$O75)),Rates!$C$12,0)</f>
        <v>0</v>
      </c>
      <c r="R75" s="19" t="n">
        <f aca="false">$M75-$N75+$P75+$Q75</f>
        <v>409.5</v>
      </c>
      <c r="S75" s="11" t="n">
        <v>409.5</v>
      </c>
      <c r="T75" s="19" t="n">
        <f aca="false">ROUND($R75-$S75,2)</f>
        <v>0</v>
      </c>
      <c r="U75" s="18" t="str">
        <f aca="false">IF(ABS($T75)&lt;0.02,"OK","CHECK")</f>
        <v>OK</v>
      </c>
      <c r="V75" s="12" t="s">
        <v>374</v>
      </c>
    </row>
    <row r="76" customFormat="false" ht="15" hidden="false" customHeight="false" outlineLevel="0" collapsed="false">
      <c r="A76" s="12" t="s">
        <v>498</v>
      </c>
      <c r="B76" s="12" t="s">
        <v>276</v>
      </c>
      <c r="C76" s="12" t="s">
        <v>277</v>
      </c>
      <c r="D76" s="12" t="s">
        <v>414</v>
      </c>
      <c r="E76" s="12" t="s">
        <v>352</v>
      </c>
      <c r="F76" s="12" t="s">
        <v>353</v>
      </c>
      <c r="G76" s="12" t="s">
        <v>106</v>
      </c>
      <c r="H76" s="12" t="s">
        <v>278</v>
      </c>
      <c r="I76" s="16" t="n">
        <f aca="false">IF($J76&lt;&gt;"",$J76,IF($E76="Wednesday",INDEX(Terms!$D$4:$D$5,MATCH($G76,Terms!$A$4:$A$5,0)),INDEX(Terms!$C$4:$C$5,MATCH($G76,Terms!$A$4:$A$5,0))))</f>
        <v>21</v>
      </c>
      <c r="J76" s="17"/>
      <c r="K76" s="18" t="n">
        <f aca="false">COUNTIFS($B$4:$B$500,$B76,$F$4:$F$500,"Enrolled")</f>
        <v>2</v>
      </c>
      <c r="L76" s="19" t="n">
        <f aca="false">IF($F76&lt;&gt;"Enrolled",0,IF($K76=0,0,IF($E76="Wednesday",Rates!$C$9,INDEX(Rates!$C$4:$C$7,MIN($K76,4))/$K76)))</f>
        <v>17.25</v>
      </c>
      <c r="M76" s="19" t="n">
        <f aca="false">ROUND($L76*$I76,2)</f>
        <v>362.25</v>
      </c>
      <c r="N76" s="11" t="n">
        <v>0</v>
      </c>
      <c r="O76" s="12" t="s">
        <v>436</v>
      </c>
      <c r="P76" s="19" t="n">
        <f aca="false">IF(ISNUMBER(SEARCH("reg",$O76)),Rates!$C$11,0)</f>
        <v>25</v>
      </c>
      <c r="Q76" s="19" t="n">
        <f aca="false">IF(ISNUMBER(SEARCH("supplies",$O76)),Rates!$C$12,0)</f>
        <v>0</v>
      </c>
      <c r="R76" s="19" t="n">
        <f aca="false">$M76-$N76+$P76+$Q76</f>
        <v>387.25</v>
      </c>
      <c r="S76" s="11" t="n">
        <v>387.25</v>
      </c>
      <c r="T76" s="19" t="n">
        <f aca="false">ROUND($R76-$S76,2)</f>
        <v>0</v>
      </c>
      <c r="U76" s="18" t="str">
        <f aca="false">IF(ABS($T76)&lt;0.02,"OK","CHECK")</f>
        <v>OK</v>
      </c>
      <c r="V76" s="12" t="s">
        <v>354</v>
      </c>
    </row>
    <row r="77" customFormat="false" ht="15" hidden="false" customHeight="false" outlineLevel="0" collapsed="false">
      <c r="A77" s="12" t="s">
        <v>499</v>
      </c>
      <c r="B77" s="12" t="s">
        <v>276</v>
      </c>
      <c r="C77" s="12" t="s">
        <v>277</v>
      </c>
      <c r="D77" s="12" t="s">
        <v>423</v>
      </c>
      <c r="E77" s="12" t="s">
        <v>352</v>
      </c>
      <c r="F77" s="12" t="s">
        <v>353</v>
      </c>
      <c r="G77" s="12" t="s">
        <v>106</v>
      </c>
      <c r="H77" s="12" t="s">
        <v>500</v>
      </c>
      <c r="I77" s="16" t="n">
        <f aca="false">IF($J77&lt;&gt;"",$J77,IF($E77="Wednesday",INDEX(Terms!$D$4:$D$5,MATCH($G77,Terms!$A$4:$A$5,0)),INDEX(Terms!$C$4:$C$5,MATCH($G77,Terms!$A$4:$A$5,0))))</f>
        <v>21</v>
      </c>
      <c r="J77" s="17"/>
      <c r="K77" s="18" t="n">
        <f aca="false">COUNTIFS($B$4:$B$500,$B77,$F$4:$F$500,"Enrolled")</f>
        <v>2</v>
      </c>
      <c r="L77" s="19" t="n">
        <f aca="false">IF($F77&lt;&gt;"Enrolled",0,IF($K77=0,0,IF($E77="Wednesday",Rates!$C$9,INDEX(Rates!$C$4:$C$7,MIN($K77,4))/$K77)))</f>
        <v>17.25</v>
      </c>
      <c r="M77" s="19" t="n">
        <f aca="false">ROUND($L77*$I77,2)</f>
        <v>362.25</v>
      </c>
      <c r="N77" s="11" t="n">
        <v>0</v>
      </c>
      <c r="O77" s="12" t="s">
        <v>357</v>
      </c>
      <c r="P77" s="19" t="n">
        <f aca="false">IF(ISNUMBER(SEARCH("reg",$O77)),Rates!$C$11,0)</f>
        <v>0</v>
      </c>
      <c r="Q77" s="19" t="n">
        <f aca="false">IF(ISNUMBER(SEARCH("supplies",$O77)),Rates!$C$12,0)</f>
        <v>25</v>
      </c>
      <c r="R77" s="19" t="n">
        <f aca="false">$M77-$N77+$P77+$Q77</f>
        <v>387.25</v>
      </c>
      <c r="S77" s="11" t="n">
        <v>387.25</v>
      </c>
      <c r="T77" s="19" t="n">
        <f aca="false">ROUND($R77-$S77,2)</f>
        <v>0</v>
      </c>
      <c r="U77" s="18" t="str">
        <f aca="false">IF(ABS($T77)&lt;0.02,"OK","CHECK")</f>
        <v>OK</v>
      </c>
      <c r="V77" s="12"/>
    </row>
    <row r="78" customFormat="false" ht="15" hidden="false" customHeight="false" outlineLevel="0" collapsed="false">
      <c r="A78" s="12" t="s">
        <v>501</v>
      </c>
      <c r="B78" s="12" t="s">
        <v>279</v>
      </c>
      <c r="C78" s="12" t="s">
        <v>280</v>
      </c>
      <c r="D78" s="12" t="s">
        <v>491</v>
      </c>
      <c r="E78" s="12" t="s">
        <v>352</v>
      </c>
      <c r="F78" s="12" t="s">
        <v>353</v>
      </c>
      <c r="G78" s="12" t="s">
        <v>106</v>
      </c>
      <c r="H78" s="12" t="s">
        <v>281</v>
      </c>
      <c r="I78" s="16" t="n">
        <f aca="false">IF($J78&lt;&gt;"",$J78,IF($E78="Wednesday",INDEX(Terms!$D$4:$D$5,MATCH($G78,Terms!$A$4:$A$5,0)),INDEX(Terms!$C$4:$C$5,MATCH($G78,Terms!$A$4:$A$5,0))))</f>
        <v>21</v>
      </c>
      <c r="J78" s="17"/>
      <c r="K78" s="18" t="n">
        <f aca="false">COUNTIFS($B$4:$B$500,$B78,$F$4:$F$500,"Enrolled")</f>
        <v>2</v>
      </c>
      <c r="L78" s="19" t="n">
        <f aca="false">IF($F78&lt;&gt;"Enrolled",0,IF($K78=0,0,IF($E78="Wednesday",Rates!$C$9,INDEX(Rates!$C$4:$C$7,MIN($K78,4))/$K78)))</f>
        <v>17.25</v>
      </c>
      <c r="M78" s="19" t="n">
        <f aca="false">ROUND($L78*$I78,2)</f>
        <v>362.25</v>
      </c>
      <c r="N78" s="11" t="n">
        <v>0</v>
      </c>
      <c r="O78" s="12" t="s">
        <v>357</v>
      </c>
      <c r="P78" s="19" t="n">
        <f aca="false">IF(ISNUMBER(SEARCH("reg",$O78)),Rates!$C$11,0)</f>
        <v>0</v>
      </c>
      <c r="Q78" s="19" t="n">
        <f aca="false">IF(ISNUMBER(SEARCH("supplies",$O78)),Rates!$C$12,0)</f>
        <v>25</v>
      </c>
      <c r="R78" s="19" t="n">
        <f aca="false">$M78-$N78+$P78+$Q78</f>
        <v>387.25</v>
      </c>
      <c r="S78" s="11" t="n">
        <v>387.25</v>
      </c>
      <c r="T78" s="19" t="n">
        <f aca="false">ROUND($R78-$S78,2)</f>
        <v>0</v>
      </c>
      <c r="U78" s="18" t="str">
        <f aca="false">IF(ABS($T78)&lt;0.02,"OK","CHECK")</f>
        <v>OK</v>
      </c>
      <c r="V78" s="12" t="s">
        <v>354</v>
      </c>
    </row>
    <row r="79" customFormat="false" ht="15" hidden="false" customHeight="false" outlineLevel="0" collapsed="false">
      <c r="A79" s="12" t="s">
        <v>502</v>
      </c>
      <c r="B79" s="12" t="s">
        <v>279</v>
      </c>
      <c r="C79" s="12" t="s">
        <v>280</v>
      </c>
      <c r="D79" s="12" t="s">
        <v>425</v>
      </c>
      <c r="E79" s="12" t="s">
        <v>352</v>
      </c>
      <c r="F79" s="12" t="s">
        <v>353</v>
      </c>
      <c r="G79" s="12" t="s">
        <v>106</v>
      </c>
      <c r="H79" s="12" t="s">
        <v>503</v>
      </c>
      <c r="I79" s="16" t="n">
        <f aca="false">IF($J79&lt;&gt;"",$J79,IF($E79="Wednesday",INDEX(Terms!$D$4:$D$5,MATCH($G79,Terms!$A$4:$A$5,0)),INDEX(Terms!$C$4:$C$5,MATCH($G79,Terms!$A$4:$A$5,0))))</f>
        <v>21</v>
      </c>
      <c r="J79" s="17"/>
      <c r="K79" s="18" t="n">
        <f aca="false">COUNTIFS($B$4:$B$500,$B79,$F$4:$F$500,"Enrolled")</f>
        <v>2</v>
      </c>
      <c r="L79" s="19" t="n">
        <f aca="false">IF($F79&lt;&gt;"Enrolled",0,IF($K79=0,0,IF($E79="Wednesday",Rates!$C$9,INDEX(Rates!$C$4:$C$7,MIN($K79,4))/$K79)))</f>
        <v>17.25</v>
      </c>
      <c r="M79" s="19" t="n">
        <f aca="false">ROUND($L79*$I79,2)</f>
        <v>362.25</v>
      </c>
      <c r="N79" s="11" t="n">
        <v>0</v>
      </c>
      <c r="O79" s="12" t="s">
        <v>357</v>
      </c>
      <c r="P79" s="19" t="n">
        <f aca="false">IF(ISNUMBER(SEARCH("reg",$O79)),Rates!$C$11,0)</f>
        <v>0</v>
      </c>
      <c r="Q79" s="19" t="n">
        <f aca="false">IF(ISNUMBER(SEARCH("supplies",$O79)),Rates!$C$12,0)</f>
        <v>25</v>
      </c>
      <c r="R79" s="19" t="n">
        <f aca="false">$M79-$N79+$P79+$Q79</f>
        <v>387.25</v>
      </c>
      <c r="S79" s="11" t="n">
        <v>387.25</v>
      </c>
      <c r="T79" s="19" t="n">
        <f aca="false">ROUND($R79-$S79,2)</f>
        <v>0</v>
      </c>
      <c r="U79" s="18" t="str">
        <f aca="false">IF(ABS($T79)&lt;0.02,"OK","CHECK")</f>
        <v>OK</v>
      </c>
      <c r="V79" s="12" t="s">
        <v>354</v>
      </c>
    </row>
    <row r="80" customFormat="false" ht="15" hidden="false" customHeight="false" outlineLevel="0" collapsed="false">
      <c r="A80" s="12" t="s">
        <v>504</v>
      </c>
      <c r="B80" s="12" t="s">
        <v>282</v>
      </c>
      <c r="C80" s="12" t="s">
        <v>283</v>
      </c>
      <c r="D80" s="12" t="s">
        <v>423</v>
      </c>
      <c r="E80" s="12" t="s">
        <v>352</v>
      </c>
      <c r="F80" s="12" t="s">
        <v>353</v>
      </c>
      <c r="G80" s="12" t="s">
        <v>106</v>
      </c>
      <c r="H80" s="12" t="s">
        <v>284</v>
      </c>
      <c r="I80" s="16" t="n">
        <f aca="false">IF($J80&lt;&gt;"",$J80,IF($E80="Wednesday",INDEX(Terms!$D$4:$D$5,MATCH($G80,Terms!$A$4:$A$5,0)),INDEX(Terms!$C$4:$C$5,MATCH($G80,Terms!$A$4:$A$5,0))))</f>
        <v>21</v>
      </c>
      <c r="J80" s="17"/>
      <c r="K80" s="18" t="n">
        <f aca="false">COUNTIFS($B$4:$B$500,$B80,$F$4:$F$500,"Enrolled")</f>
        <v>1</v>
      </c>
      <c r="L80" s="19" t="n">
        <f aca="false">IF($F80&lt;&gt;"Enrolled",0,IF($K80=0,0,IF($E80="Wednesday",Rates!$C$9,INDEX(Rates!$C$4:$C$7,MIN($K80,4))/$K80)))</f>
        <v>19.5</v>
      </c>
      <c r="M80" s="19" t="n">
        <f aca="false">ROUND($L80*$I80,2)</f>
        <v>409.5</v>
      </c>
      <c r="N80" s="11" t="n">
        <v>0</v>
      </c>
      <c r="O80" s="12" t="s">
        <v>400</v>
      </c>
      <c r="P80" s="19" t="n">
        <f aca="false">IF(ISNUMBER(SEARCH("reg",$O80)),Rates!$C$11,0)</f>
        <v>25</v>
      </c>
      <c r="Q80" s="19" t="n">
        <f aca="false">IF(ISNUMBER(SEARCH("supplies",$O80)),Rates!$C$12,0)</f>
        <v>25</v>
      </c>
      <c r="R80" s="19" t="n">
        <f aca="false">$M80-$N80+$P80+$Q80</f>
        <v>459.5</v>
      </c>
      <c r="S80" s="11" t="n">
        <v>459.5</v>
      </c>
      <c r="T80" s="19" t="n">
        <f aca="false">ROUND($R80-$S80,2)</f>
        <v>0</v>
      </c>
      <c r="U80" s="18" t="str">
        <f aca="false">IF(ABS($T80)&lt;0.02,"OK","CHECK")</f>
        <v>OK</v>
      </c>
      <c r="V80" s="12" t="s">
        <v>374</v>
      </c>
    </row>
    <row r="81" customFormat="false" ht="15" hidden="false" customHeight="false" outlineLevel="0" collapsed="false">
      <c r="A81" s="12" t="s">
        <v>505</v>
      </c>
      <c r="B81" s="12" t="s">
        <v>285</v>
      </c>
      <c r="C81" s="12" t="s">
        <v>286</v>
      </c>
      <c r="D81" s="12" t="s">
        <v>423</v>
      </c>
      <c r="E81" s="12" t="s">
        <v>352</v>
      </c>
      <c r="F81" s="12" t="s">
        <v>353</v>
      </c>
      <c r="G81" s="12" t="s">
        <v>106</v>
      </c>
      <c r="H81" s="12" t="s">
        <v>287</v>
      </c>
      <c r="I81" s="16" t="n">
        <f aca="false">IF($J81&lt;&gt;"",$J81,IF($E81="Wednesday",INDEX(Terms!$D$4:$D$5,MATCH($G81,Terms!$A$4:$A$5,0)),INDEX(Terms!$C$4:$C$5,MATCH($G81,Terms!$A$4:$A$5,0))))</f>
        <v>21</v>
      </c>
      <c r="J81" s="17"/>
      <c r="K81" s="18" t="n">
        <f aca="false">COUNTIFS($B$4:$B$500,$B81,$F$4:$F$500,"Enrolled")</f>
        <v>1</v>
      </c>
      <c r="L81" s="19" t="n">
        <f aca="false">IF($F81&lt;&gt;"Enrolled",0,IF($K81=0,0,IF($E81="Wednesday",Rates!$C$9,INDEX(Rates!$C$4:$C$7,MIN($K81,4))/$K81)))</f>
        <v>19.5</v>
      </c>
      <c r="M81" s="19" t="n">
        <f aca="false">ROUND($L81*$I81,2)</f>
        <v>409.5</v>
      </c>
      <c r="N81" s="11" t="n">
        <v>0</v>
      </c>
      <c r="O81" s="12" t="s">
        <v>357</v>
      </c>
      <c r="P81" s="19" t="n">
        <f aca="false">IF(ISNUMBER(SEARCH("reg",$O81)),Rates!$C$11,0)</f>
        <v>0</v>
      </c>
      <c r="Q81" s="19" t="n">
        <f aca="false">IF(ISNUMBER(SEARCH("supplies",$O81)),Rates!$C$12,0)</f>
        <v>25</v>
      </c>
      <c r="R81" s="19" t="n">
        <f aca="false">$M81-$N81+$P81+$Q81</f>
        <v>434.5</v>
      </c>
      <c r="S81" s="11" t="n">
        <v>434.5</v>
      </c>
      <c r="T81" s="19" t="n">
        <f aca="false">ROUND($R81-$S81,2)</f>
        <v>0</v>
      </c>
      <c r="U81" s="18" t="str">
        <f aca="false">IF(ABS($T81)&lt;0.02,"OK","CHECK")</f>
        <v>OK</v>
      </c>
      <c r="V81" s="12" t="s">
        <v>374</v>
      </c>
    </row>
    <row r="82" customFormat="false" ht="15" hidden="false" customHeight="false" outlineLevel="0" collapsed="false">
      <c r="A82" s="12" t="s">
        <v>506</v>
      </c>
      <c r="B82" s="12" t="s">
        <v>288</v>
      </c>
      <c r="C82" s="12" t="s">
        <v>289</v>
      </c>
      <c r="D82" s="12" t="s">
        <v>398</v>
      </c>
      <c r="E82" s="12" t="s">
        <v>352</v>
      </c>
      <c r="F82" s="12" t="s">
        <v>353</v>
      </c>
      <c r="G82" s="12" t="s">
        <v>106</v>
      </c>
      <c r="H82" s="12" t="s">
        <v>507</v>
      </c>
      <c r="I82" s="16" t="n">
        <f aca="false">IF($J82&lt;&gt;"",$J82,IF($E82="Wednesday",INDEX(Terms!$D$4:$D$5,MATCH($G82,Terms!$A$4:$A$5,0)),INDEX(Terms!$C$4:$C$5,MATCH($G82,Terms!$A$4:$A$5,0))))</f>
        <v>21</v>
      </c>
      <c r="J82" s="17"/>
      <c r="K82" s="18" t="n">
        <f aca="false">COUNTIFS($B$4:$B$500,$B82,$F$4:$F$500,"Enrolled")</f>
        <v>2</v>
      </c>
      <c r="L82" s="19" t="n">
        <f aca="false">IF($F82&lt;&gt;"Enrolled",0,IF($K82=0,0,IF($E82="Wednesday",Rates!$C$9,INDEX(Rates!$C$4:$C$7,MIN($K82,4))/$K82)))</f>
        <v>17.25</v>
      </c>
      <c r="M82" s="19" t="n">
        <f aca="false">ROUND($L82*$I82,2)</f>
        <v>362.25</v>
      </c>
      <c r="N82" s="11" t="n">
        <v>0</v>
      </c>
      <c r="O82" s="12" t="s">
        <v>357</v>
      </c>
      <c r="P82" s="19" t="n">
        <f aca="false">IF(ISNUMBER(SEARCH("reg",$O82)),Rates!$C$11,0)</f>
        <v>0</v>
      </c>
      <c r="Q82" s="19" t="n">
        <f aca="false">IF(ISNUMBER(SEARCH("supplies",$O82)),Rates!$C$12,0)</f>
        <v>25</v>
      </c>
      <c r="R82" s="19" t="n">
        <f aca="false">$M82-$N82+$P82+$Q82</f>
        <v>387.25</v>
      </c>
      <c r="S82" s="11" t="n">
        <v>387.25</v>
      </c>
      <c r="T82" s="19" t="n">
        <f aca="false">ROUND($R82-$S82,2)</f>
        <v>0</v>
      </c>
      <c r="U82" s="18" t="str">
        <f aca="false">IF(ABS($T82)&lt;0.02,"OK","CHECK")</f>
        <v>OK</v>
      </c>
      <c r="V82" s="12" t="s">
        <v>354</v>
      </c>
    </row>
    <row r="83" customFormat="false" ht="15" hidden="false" customHeight="false" outlineLevel="0" collapsed="false">
      <c r="A83" s="12" t="s">
        <v>508</v>
      </c>
      <c r="B83" s="12" t="s">
        <v>288</v>
      </c>
      <c r="C83" s="12" t="s">
        <v>289</v>
      </c>
      <c r="D83" s="12" t="s">
        <v>368</v>
      </c>
      <c r="E83" s="12" t="s">
        <v>352</v>
      </c>
      <c r="F83" s="12" t="s">
        <v>353</v>
      </c>
      <c r="G83" s="12" t="s">
        <v>106</v>
      </c>
      <c r="H83" s="12" t="s">
        <v>290</v>
      </c>
      <c r="I83" s="16" t="n">
        <f aca="false">IF($J83&lt;&gt;"",$J83,IF($E83="Wednesday",INDEX(Terms!$D$4:$D$5,MATCH($G83,Terms!$A$4:$A$5,0)),INDEX(Terms!$C$4:$C$5,MATCH($G83,Terms!$A$4:$A$5,0))))</f>
        <v>21</v>
      </c>
      <c r="J83" s="17"/>
      <c r="K83" s="18" t="n">
        <f aca="false">COUNTIFS($B$4:$B$500,$B83,$F$4:$F$500,"Enrolled")</f>
        <v>2</v>
      </c>
      <c r="L83" s="19" t="n">
        <f aca="false">IF($F83&lt;&gt;"Enrolled",0,IF($K83=0,0,IF($E83="Wednesday",Rates!$C$9,INDEX(Rates!$C$4:$C$7,MIN($K83,4))/$K83)))</f>
        <v>17.25</v>
      </c>
      <c r="M83" s="19" t="n">
        <f aca="false">ROUND($L83*$I83,2)</f>
        <v>362.25</v>
      </c>
      <c r="N83" s="11" t="n">
        <v>0</v>
      </c>
      <c r="O83" s="12" t="s">
        <v>357</v>
      </c>
      <c r="P83" s="19" t="n">
        <f aca="false">IF(ISNUMBER(SEARCH("reg",$O83)),Rates!$C$11,0)</f>
        <v>0</v>
      </c>
      <c r="Q83" s="19" t="n">
        <f aca="false">IF(ISNUMBER(SEARCH("supplies",$O83)),Rates!$C$12,0)</f>
        <v>25</v>
      </c>
      <c r="R83" s="19" t="n">
        <f aca="false">$M83-$N83+$P83+$Q83</f>
        <v>387.25</v>
      </c>
      <c r="S83" s="11" t="n">
        <v>387.25</v>
      </c>
      <c r="T83" s="19" t="n">
        <f aca="false">ROUND($R83-$S83,2)</f>
        <v>0</v>
      </c>
      <c r="U83" s="18" t="str">
        <f aca="false">IF(ABS($T83)&lt;0.02,"OK","CHECK")</f>
        <v>OK</v>
      </c>
      <c r="V83" s="12" t="s">
        <v>354</v>
      </c>
    </row>
    <row r="84" customFormat="false" ht="15" hidden="false" customHeight="false" outlineLevel="0" collapsed="false">
      <c r="A84" s="12" t="s">
        <v>509</v>
      </c>
      <c r="B84" s="12" t="s">
        <v>292</v>
      </c>
      <c r="C84" s="12" t="s">
        <v>293</v>
      </c>
      <c r="D84" s="12" t="s">
        <v>491</v>
      </c>
      <c r="E84" s="12" t="s">
        <v>352</v>
      </c>
      <c r="F84" s="12" t="s">
        <v>353</v>
      </c>
      <c r="G84" s="12" t="s">
        <v>106</v>
      </c>
      <c r="H84" s="12" t="s">
        <v>510</v>
      </c>
      <c r="I84" s="16" t="n">
        <f aca="false">IF($J84&lt;&gt;"",$J84,IF($E84="Wednesday",INDEX(Terms!$D$4:$D$5,MATCH($G84,Terms!$A$4:$A$5,0)),INDEX(Terms!$C$4:$C$5,MATCH($G84,Terms!$A$4:$A$5,0))))</f>
        <v>21</v>
      </c>
      <c r="J84" s="17"/>
      <c r="K84" s="18" t="n">
        <f aca="false">COUNTIFS($B$4:$B$500,$B84,$F$4:$F$500,"Enrolled")</f>
        <v>2</v>
      </c>
      <c r="L84" s="19" t="n">
        <f aca="false">IF($F84&lt;&gt;"Enrolled",0,IF($K84=0,0,IF($E84="Wednesday",Rates!$C$9,INDEX(Rates!$C$4:$C$7,MIN($K84,4))/$K84)))</f>
        <v>17.25</v>
      </c>
      <c r="M84" s="19" t="n">
        <f aca="false">ROUND($L84*$I84,2)</f>
        <v>362.25</v>
      </c>
      <c r="N84" s="11" t="n">
        <v>0</v>
      </c>
      <c r="O84" s="12"/>
      <c r="P84" s="19" t="n">
        <f aca="false">IF(ISNUMBER(SEARCH("reg",$O84)),Rates!$C$11,0)</f>
        <v>0</v>
      </c>
      <c r="Q84" s="19" t="n">
        <f aca="false">IF(ISNUMBER(SEARCH("supplies",$O84)),Rates!$C$12,0)</f>
        <v>0</v>
      </c>
      <c r="R84" s="19" t="n">
        <f aca="false">$M84-$N84+$P84+$Q84</f>
        <v>362.25</v>
      </c>
      <c r="S84" s="11" t="n">
        <v>362.25</v>
      </c>
      <c r="T84" s="19" t="n">
        <f aca="false">ROUND($R84-$S84,2)</f>
        <v>0</v>
      </c>
      <c r="U84" s="18" t="str">
        <f aca="false">IF(ABS($T84)&lt;0.02,"OK","CHECK")</f>
        <v>OK</v>
      </c>
      <c r="V84" s="12" t="s">
        <v>354</v>
      </c>
    </row>
    <row r="85" customFormat="false" ht="15" hidden="false" customHeight="false" outlineLevel="0" collapsed="false">
      <c r="A85" s="12" t="s">
        <v>511</v>
      </c>
      <c r="B85" s="12" t="s">
        <v>292</v>
      </c>
      <c r="C85" s="12" t="s">
        <v>293</v>
      </c>
      <c r="D85" s="12" t="s">
        <v>370</v>
      </c>
      <c r="E85" s="12" t="s">
        <v>352</v>
      </c>
      <c r="F85" s="12" t="s">
        <v>353</v>
      </c>
      <c r="G85" s="12" t="s">
        <v>106</v>
      </c>
      <c r="H85" s="12" t="s">
        <v>294</v>
      </c>
      <c r="I85" s="16" t="n">
        <f aca="false">IF($J85&lt;&gt;"",$J85,IF($E85="Wednesday",INDEX(Terms!$D$4:$D$5,MATCH($G85,Terms!$A$4:$A$5,0)),INDEX(Terms!$C$4:$C$5,MATCH($G85,Terms!$A$4:$A$5,0))))</f>
        <v>21</v>
      </c>
      <c r="J85" s="17"/>
      <c r="K85" s="18" t="n">
        <f aca="false">COUNTIFS($B$4:$B$500,$B85,$F$4:$F$500,"Enrolled")</f>
        <v>2</v>
      </c>
      <c r="L85" s="19" t="n">
        <f aca="false">IF($F85&lt;&gt;"Enrolled",0,IF($K85=0,0,IF($E85="Wednesday",Rates!$C$9,INDEX(Rates!$C$4:$C$7,MIN($K85,4))/$K85)))</f>
        <v>17.25</v>
      </c>
      <c r="M85" s="19" t="n">
        <f aca="false">ROUND($L85*$I85,2)</f>
        <v>362.25</v>
      </c>
      <c r="N85" s="11" t="n">
        <v>0</v>
      </c>
      <c r="O85" s="12" t="s">
        <v>357</v>
      </c>
      <c r="P85" s="19" t="n">
        <f aca="false">IF(ISNUMBER(SEARCH("reg",$O85)),Rates!$C$11,0)</f>
        <v>0</v>
      </c>
      <c r="Q85" s="19" t="n">
        <f aca="false">IF(ISNUMBER(SEARCH("supplies",$O85)),Rates!$C$12,0)</f>
        <v>25</v>
      </c>
      <c r="R85" s="19" t="n">
        <f aca="false">$M85-$N85+$P85+$Q85</f>
        <v>387.25</v>
      </c>
      <c r="S85" s="11" t="n">
        <v>387.25</v>
      </c>
      <c r="T85" s="19" t="n">
        <f aca="false">ROUND($R85-$S85,2)</f>
        <v>0</v>
      </c>
      <c r="U85" s="18" t="str">
        <f aca="false">IF(ABS($T85)&lt;0.02,"OK","CHECK")</f>
        <v>OK</v>
      </c>
      <c r="V85" s="12" t="s">
        <v>354</v>
      </c>
    </row>
    <row r="86" customFormat="false" ht="15" hidden="false" customHeight="false" outlineLevel="0" collapsed="false">
      <c r="A86" s="12" t="s">
        <v>512</v>
      </c>
      <c r="B86" s="12" t="s">
        <v>296</v>
      </c>
      <c r="C86" s="12" t="s">
        <v>297</v>
      </c>
      <c r="D86" s="12" t="s">
        <v>368</v>
      </c>
      <c r="E86" s="12" t="s">
        <v>352</v>
      </c>
      <c r="F86" s="12" t="s">
        <v>353</v>
      </c>
      <c r="G86" s="12" t="s">
        <v>106</v>
      </c>
      <c r="H86" s="12" t="s">
        <v>298</v>
      </c>
      <c r="I86" s="16" t="n">
        <f aca="false">IF($J86&lt;&gt;"",$J86,IF($E86="Wednesday",INDEX(Terms!$D$4:$D$5,MATCH($G86,Terms!$A$4:$A$5,0)),INDEX(Terms!$C$4:$C$5,MATCH($G86,Terms!$A$4:$A$5,0))))</f>
        <v>21</v>
      </c>
      <c r="J86" s="17"/>
      <c r="K86" s="18" t="n">
        <f aca="false">COUNTIFS($B$4:$B$500,$B86,$F$4:$F$500,"Enrolled")</f>
        <v>1</v>
      </c>
      <c r="L86" s="19" t="n">
        <f aca="false">IF($F86&lt;&gt;"Enrolled",0,IF($K86=0,0,IF($E86="Wednesday",Rates!$C$9,INDEX(Rates!$C$4:$C$7,MIN($K86,4))/$K86)))</f>
        <v>19.5</v>
      </c>
      <c r="M86" s="19" t="n">
        <f aca="false">ROUND($L86*$I86,2)</f>
        <v>409.5</v>
      </c>
      <c r="N86" s="11" t="n">
        <v>0</v>
      </c>
      <c r="O86" s="12"/>
      <c r="P86" s="19" t="n">
        <f aca="false">IF(ISNUMBER(SEARCH("reg",$O86)),Rates!$C$11,0)</f>
        <v>0</v>
      </c>
      <c r="Q86" s="19" t="n">
        <f aca="false">IF(ISNUMBER(SEARCH("supplies",$O86)),Rates!$C$12,0)</f>
        <v>0</v>
      </c>
      <c r="R86" s="19" t="n">
        <f aca="false">$M86-$N86+$P86+$Q86</f>
        <v>409.5</v>
      </c>
      <c r="S86" s="11" t="n">
        <v>409.5</v>
      </c>
      <c r="T86" s="19" t="n">
        <f aca="false">ROUND($R86-$S86,2)</f>
        <v>0</v>
      </c>
      <c r="U86" s="18" t="str">
        <f aca="false">IF(ABS($T86)&lt;0.02,"OK","CHECK")</f>
        <v>OK</v>
      </c>
      <c r="V86" s="12"/>
    </row>
    <row r="87" customFormat="false" ht="15" hidden="false" customHeight="false" outlineLevel="0" collapsed="false">
      <c r="A87" s="12" t="s">
        <v>513</v>
      </c>
      <c r="B87" s="12" t="s">
        <v>299</v>
      </c>
      <c r="C87" s="12" t="s">
        <v>300</v>
      </c>
      <c r="D87" s="12" t="s">
        <v>454</v>
      </c>
      <c r="E87" s="12" t="s">
        <v>352</v>
      </c>
      <c r="F87" s="12" t="s">
        <v>353</v>
      </c>
      <c r="G87" s="12" t="s">
        <v>106</v>
      </c>
      <c r="H87" s="12" t="s">
        <v>514</v>
      </c>
      <c r="I87" s="16" t="n">
        <f aca="false">IF($J87&lt;&gt;"",$J87,IF($E87="Wednesday",INDEX(Terms!$D$4:$D$5,MATCH($G87,Terms!$A$4:$A$5,0)),INDEX(Terms!$C$4:$C$5,MATCH($G87,Terms!$A$4:$A$5,0))))</f>
        <v>21</v>
      </c>
      <c r="J87" s="17"/>
      <c r="K87" s="18" t="n">
        <f aca="false">COUNTIFS($B$4:$B$500,$B87,$F$4:$F$500,"Enrolled")</f>
        <v>2</v>
      </c>
      <c r="L87" s="19" t="n">
        <f aca="false">IF($F87&lt;&gt;"Enrolled",0,IF($K87=0,0,IF($E87="Wednesday",Rates!$C$9,INDEX(Rates!$C$4:$C$7,MIN($K87,4))/$K87)))</f>
        <v>17.25</v>
      </c>
      <c r="M87" s="19" t="n">
        <f aca="false">ROUND($L87*$I87,2)</f>
        <v>362.25</v>
      </c>
      <c r="N87" s="11" t="n">
        <v>0</v>
      </c>
      <c r="O87" s="12" t="s">
        <v>357</v>
      </c>
      <c r="P87" s="19" t="n">
        <f aca="false">IF(ISNUMBER(SEARCH("reg",$O87)),Rates!$C$11,0)</f>
        <v>0</v>
      </c>
      <c r="Q87" s="19" t="n">
        <f aca="false">IF(ISNUMBER(SEARCH("supplies",$O87)),Rates!$C$12,0)</f>
        <v>25</v>
      </c>
      <c r="R87" s="19" t="n">
        <f aca="false">$M87-$N87+$P87+$Q87</f>
        <v>387.25</v>
      </c>
      <c r="S87" s="11" t="n">
        <v>387.25</v>
      </c>
      <c r="T87" s="19" t="n">
        <f aca="false">ROUND($R87-$S87,2)</f>
        <v>0</v>
      </c>
      <c r="U87" s="18" t="str">
        <f aca="false">IF(ABS($T87)&lt;0.02,"OK","CHECK")</f>
        <v>OK</v>
      </c>
      <c r="V87" s="12"/>
    </row>
    <row r="88" customFormat="false" ht="15" hidden="false" customHeight="false" outlineLevel="0" collapsed="false">
      <c r="A88" s="12" t="s">
        <v>515</v>
      </c>
      <c r="B88" s="12" t="s">
        <v>299</v>
      </c>
      <c r="C88" s="12" t="s">
        <v>300</v>
      </c>
      <c r="D88" s="12" t="s">
        <v>475</v>
      </c>
      <c r="E88" s="12" t="s">
        <v>352</v>
      </c>
      <c r="F88" s="12" t="s">
        <v>353</v>
      </c>
      <c r="G88" s="12" t="s">
        <v>106</v>
      </c>
      <c r="H88" s="12" t="s">
        <v>301</v>
      </c>
      <c r="I88" s="16" t="n">
        <f aca="false">IF($J88&lt;&gt;"",$J88,IF($E88="Wednesday",INDEX(Terms!$D$4:$D$5,MATCH($G88,Terms!$A$4:$A$5,0)),INDEX(Terms!$C$4:$C$5,MATCH($G88,Terms!$A$4:$A$5,0))))</f>
        <v>21</v>
      </c>
      <c r="J88" s="17"/>
      <c r="K88" s="18" t="n">
        <f aca="false">COUNTIFS($B$4:$B$500,$B88,$F$4:$F$500,"Enrolled")</f>
        <v>2</v>
      </c>
      <c r="L88" s="19" t="n">
        <f aca="false">IF($F88&lt;&gt;"Enrolled",0,IF($K88=0,0,IF($E88="Wednesday",Rates!$C$9,INDEX(Rates!$C$4:$C$7,MIN($K88,4))/$K88)))</f>
        <v>17.25</v>
      </c>
      <c r="M88" s="19" t="n">
        <f aca="false">ROUND($L88*$I88,2)</f>
        <v>362.25</v>
      </c>
      <c r="N88" s="11" t="n">
        <v>0</v>
      </c>
      <c r="O88" s="12" t="s">
        <v>400</v>
      </c>
      <c r="P88" s="19" t="n">
        <f aca="false">IF(ISNUMBER(SEARCH("reg",$O88)),Rates!$C$11,0)</f>
        <v>25</v>
      </c>
      <c r="Q88" s="19" t="n">
        <f aca="false">IF(ISNUMBER(SEARCH("supplies",$O88)),Rates!$C$12,0)</f>
        <v>25</v>
      </c>
      <c r="R88" s="19" t="n">
        <f aca="false">$M88-$N88+$P88+$Q88</f>
        <v>412.25</v>
      </c>
      <c r="S88" s="11" t="n">
        <v>412.25</v>
      </c>
      <c r="T88" s="19" t="n">
        <f aca="false">ROUND($R88-$S88,2)</f>
        <v>0</v>
      </c>
      <c r="U88" s="18" t="str">
        <f aca="false">IF(ABS($T88)&lt;0.02,"OK","CHECK")</f>
        <v>OK</v>
      </c>
      <c r="V88" s="12"/>
    </row>
    <row r="89" customFormat="false" ht="15" hidden="false" customHeight="false" outlineLevel="0" collapsed="false">
      <c r="A89" s="12" t="s">
        <v>516</v>
      </c>
      <c r="B89" s="12" t="s">
        <v>302</v>
      </c>
      <c r="C89" s="12" t="s">
        <v>303</v>
      </c>
      <c r="D89" s="12" t="s">
        <v>423</v>
      </c>
      <c r="E89" s="12" t="s">
        <v>352</v>
      </c>
      <c r="F89" s="12" t="s">
        <v>353</v>
      </c>
      <c r="G89" s="12" t="s">
        <v>106</v>
      </c>
      <c r="H89" s="12" t="s">
        <v>304</v>
      </c>
      <c r="I89" s="16" t="n">
        <f aca="false">IF($J89&lt;&gt;"",$J89,IF($E89="Wednesday",INDEX(Terms!$D$4:$D$5,MATCH($G89,Terms!$A$4:$A$5,0)),INDEX(Terms!$C$4:$C$5,MATCH($G89,Terms!$A$4:$A$5,0))))</f>
        <v>21</v>
      </c>
      <c r="J89" s="17"/>
      <c r="K89" s="18" t="n">
        <f aca="false">COUNTIFS($B$4:$B$500,$B89,$F$4:$F$500,"Enrolled")</f>
        <v>1</v>
      </c>
      <c r="L89" s="19" t="n">
        <f aca="false">IF($F89&lt;&gt;"Enrolled",0,IF($K89=0,0,IF($E89="Wednesday",Rates!$C$9,INDEX(Rates!$C$4:$C$7,MIN($K89,4))/$K89)))</f>
        <v>19.5</v>
      </c>
      <c r="M89" s="19" t="n">
        <f aca="false">ROUND($L89*$I89,2)</f>
        <v>409.5</v>
      </c>
      <c r="N89" s="11" t="n">
        <v>0</v>
      </c>
      <c r="O89" s="12" t="s">
        <v>357</v>
      </c>
      <c r="P89" s="19" t="n">
        <f aca="false">IF(ISNUMBER(SEARCH("reg",$O89)),Rates!$C$11,0)</f>
        <v>0</v>
      </c>
      <c r="Q89" s="19" t="n">
        <f aca="false">IF(ISNUMBER(SEARCH("supplies",$O89)),Rates!$C$12,0)</f>
        <v>25</v>
      </c>
      <c r="R89" s="19" t="n">
        <f aca="false">$M89-$N89+$P89+$Q89</f>
        <v>434.5</v>
      </c>
      <c r="S89" s="11" t="n">
        <v>434.5</v>
      </c>
      <c r="T89" s="19" t="n">
        <f aca="false">ROUND($R89-$S89,2)</f>
        <v>0</v>
      </c>
      <c r="U89" s="18" t="str">
        <f aca="false">IF(ABS($T89)&lt;0.02,"OK","CHECK")</f>
        <v>OK</v>
      </c>
      <c r="V89" s="12" t="s">
        <v>354</v>
      </c>
    </row>
    <row r="90" customFormat="false" ht="15" hidden="false" customHeight="false" outlineLevel="0" collapsed="false">
      <c r="A90" s="12" t="s">
        <v>517</v>
      </c>
      <c r="B90" s="12" t="s">
        <v>306</v>
      </c>
      <c r="C90" s="12" t="s">
        <v>307</v>
      </c>
      <c r="D90" s="12" t="s">
        <v>363</v>
      </c>
      <c r="E90" s="12" t="s">
        <v>352</v>
      </c>
      <c r="F90" s="12" t="s">
        <v>353</v>
      </c>
      <c r="G90" s="12" t="s">
        <v>106</v>
      </c>
      <c r="H90" s="12" t="s">
        <v>308</v>
      </c>
      <c r="I90" s="16" t="n">
        <f aca="false">IF($J90&lt;&gt;"",$J90,IF($E90="Wednesday",INDEX(Terms!$D$4:$D$5,MATCH($G90,Terms!$A$4:$A$5,0)),INDEX(Terms!$C$4:$C$5,MATCH($G90,Terms!$A$4:$A$5,0))))</f>
        <v>21</v>
      </c>
      <c r="J90" s="17"/>
      <c r="K90" s="18" t="n">
        <f aca="false">COUNTIFS($B$4:$B$500,$B90,$F$4:$F$500,"Enrolled")</f>
        <v>1</v>
      </c>
      <c r="L90" s="19" t="n">
        <f aca="false">IF($F90&lt;&gt;"Enrolled",0,IF($K90=0,0,IF($E90="Wednesday",Rates!$C$9,INDEX(Rates!$C$4:$C$7,MIN($K90,4))/$K90)))</f>
        <v>19.5</v>
      </c>
      <c r="M90" s="19" t="n">
        <f aca="false">ROUND($L90*$I90,2)</f>
        <v>409.5</v>
      </c>
      <c r="N90" s="11" t="n">
        <v>0</v>
      </c>
      <c r="O90" s="12" t="s">
        <v>357</v>
      </c>
      <c r="P90" s="19" t="n">
        <f aca="false">IF(ISNUMBER(SEARCH("reg",$O90)),Rates!$C$11,0)</f>
        <v>0</v>
      </c>
      <c r="Q90" s="19" t="n">
        <f aca="false">IF(ISNUMBER(SEARCH("supplies",$O90)),Rates!$C$12,0)</f>
        <v>25</v>
      </c>
      <c r="R90" s="19" t="n">
        <f aca="false">$M90-$N90+$P90+$Q90</f>
        <v>434.5</v>
      </c>
      <c r="S90" s="11" t="n">
        <v>434.5</v>
      </c>
      <c r="T90" s="19" t="n">
        <f aca="false">ROUND($R90-$S90,2)</f>
        <v>0</v>
      </c>
      <c r="U90" s="18" t="str">
        <f aca="false">IF(ABS($T90)&lt;0.02,"OK","CHECK")</f>
        <v>OK</v>
      </c>
      <c r="V90" s="12" t="s">
        <v>354</v>
      </c>
    </row>
    <row r="91" customFormat="false" ht="15" hidden="false" customHeight="false" outlineLevel="0" collapsed="false">
      <c r="A91" s="12" t="s">
        <v>518</v>
      </c>
      <c r="B91" s="12" t="s">
        <v>309</v>
      </c>
      <c r="C91" s="12" t="s">
        <v>310</v>
      </c>
      <c r="D91" s="12" t="s">
        <v>376</v>
      </c>
      <c r="E91" s="12" t="s">
        <v>352</v>
      </c>
      <c r="F91" s="12" t="s">
        <v>353</v>
      </c>
      <c r="G91" s="12" t="s">
        <v>106</v>
      </c>
      <c r="H91" s="12" t="s">
        <v>311</v>
      </c>
      <c r="I91" s="16" t="n">
        <f aca="false">IF($J91&lt;&gt;"",$J91,IF($E91="Wednesday",INDEX(Terms!$D$4:$D$5,MATCH($G91,Terms!$A$4:$A$5,0)),INDEX(Terms!$C$4:$C$5,MATCH($G91,Terms!$A$4:$A$5,0))))</f>
        <v>21</v>
      </c>
      <c r="J91" s="17"/>
      <c r="K91" s="18" t="n">
        <f aca="false">COUNTIFS($B$4:$B$500,$B91,$F$4:$F$500,"Enrolled")</f>
        <v>1</v>
      </c>
      <c r="L91" s="19" t="n">
        <f aca="false">IF($F91&lt;&gt;"Enrolled",0,IF($K91=0,0,IF($E91="Wednesday",Rates!$C$9,INDEX(Rates!$C$4:$C$7,MIN($K91,4))/$K91)))</f>
        <v>19.5</v>
      </c>
      <c r="M91" s="19" t="n">
        <f aca="false">ROUND($L91*$I91,2)</f>
        <v>409.5</v>
      </c>
      <c r="N91" s="11" t="n">
        <v>0</v>
      </c>
      <c r="O91" s="12"/>
      <c r="P91" s="19" t="n">
        <f aca="false">IF(ISNUMBER(SEARCH("reg",$O91)),Rates!$C$11,0)</f>
        <v>0</v>
      </c>
      <c r="Q91" s="19" t="n">
        <f aca="false">IF(ISNUMBER(SEARCH("supplies",$O91)),Rates!$C$12,0)</f>
        <v>0</v>
      </c>
      <c r="R91" s="19" t="n">
        <f aca="false">$M91-$N91+$P91+$Q91</f>
        <v>409.5</v>
      </c>
      <c r="S91" s="11" t="n">
        <v>409.5</v>
      </c>
      <c r="T91" s="19" t="n">
        <f aca="false">ROUND($R91-$S91,2)</f>
        <v>0</v>
      </c>
      <c r="U91" s="18" t="str">
        <f aca="false">IF(ABS($T91)&lt;0.02,"OK","CHECK")</f>
        <v>OK</v>
      </c>
      <c r="V91" s="12" t="s">
        <v>354</v>
      </c>
    </row>
    <row r="92" customFormat="false" ht="15" hidden="false" customHeight="false" outlineLevel="0" collapsed="false">
      <c r="A92" s="12" t="s">
        <v>519</v>
      </c>
      <c r="B92" s="12" t="s">
        <v>312</v>
      </c>
      <c r="C92" s="12" t="s">
        <v>313</v>
      </c>
      <c r="D92" s="12" t="s">
        <v>468</v>
      </c>
      <c r="E92" s="12" t="s">
        <v>352</v>
      </c>
      <c r="F92" s="12" t="s">
        <v>353</v>
      </c>
      <c r="G92" s="12" t="s">
        <v>106</v>
      </c>
      <c r="H92" s="12" t="s">
        <v>314</v>
      </c>
      <c r="I92" s="16" t="n">
        <f aca="false">IF($J92&lt;&gt;"",$J92,IF($E92="Wednesday",INDEX(Terms!$D$4:$D$5,MATCH($G92,Terms!$A$4:$A$5,0)),INDEX(Terms!$C$4:$C$5,MATCH($G92,Terms!$A$4:$A$5,0))))</f>
        <v>21</v>
      </c>
      <c r="J92" s="17"/>
      <c r="K92" s="18" t="n">
        <f aca="false">COUNTIFS($B$4:$B$500,$B92,$F$4:$F$500,"Enrolled")</f>
        <v>1</v>
      </c>
      <c r="L92" s="19" t="n">
        <f aca="false">IF($F92&lt;&gt;"Enrolled",0,IF($K92=0,0,IF($E92="Wednesday",Rates!$C$9,INDEX(Rates!$C$4:$C$7,MIN($K92,4))/$K92)))</f>
        <v>19.5</v>
      </c>
      <c r="M92" s="19" t="n">
        <f aca="false">ROUND($L92*$I92,2)</f>
        <v>409.5</v>
      </c>
      <c r="N92" s="11" t="n">
        <v>0</v>
      </c>
      <c r="O92" s="12" t="s">
        <v>357</v>
      </c>
      <c r="P92" s="19" t="n">
        <f aca="false">IF(ISNUMBER(SEARCH("reg",$O92)),Rates!$C$11,0)</f>
        <v>0</v>
      </c>
      <c r="Q92" s="19" t="n">
        <f aca="false">IF(ISNUMBER(SEARCH("supplies",$O92)),Rates!$C$12,0)</f>
        <v>25</v>
      </c>
      <c r="R92" s="19" t="n">
        <f aca="false">$M92-$N92+$P92+$Q92</f>
        <v>434.5</v>
      </c>
      <c r="S92" s="11" t="n">
        <v>434.5</v>
      </c>
      <c r="T92" s="19" t="n">
        <f aca="false">ROUND($R92-$S92,2)</f>
        <v>0</v>
      </c>
      <c r="U92" s="18" t="str">
        <f aca="false">IF(ABS($T92)&lt;0.02,"OK","CHECK")</f>
        <v>OK</v>
      </c>
      <c r="V92" s="12" t="s">
        <v>354</v>
      </c>
    </row>
    <row r="93" customFormat="false" ht="15" hidden="false" customHeight="false" outlineLevel="0" collapsed="false">
      <c r="A93" s="12" t="s">
        <v>520</v>
      </c>
      <c r="B93" s="12" t="s">
        <v>316</v>
      </c>
      <c r="C93" s="12" t="s">
        <v>317</v>
      </c>
      <c r="D93" s="12" t="s">
        <v>385</v>
      </c>
      <c r="E93" s="12" t="s">
        <v>352</v>
      </c>
      <c r="F93" s="12" t="s">
        <v>353</v>
      </c>
      <c r="G93" s="12" t="s">
        <v>106</v>
      </c>
      <c r="H93" s="12" t="s">
        <v>318</v>
      </c>
      <c r="I93" s="16" t="n">
        <f aca="false">IF($J93&lt;&gt;"",$J93,IF($E93="Wednesday",INDEX(Terms!$D$4:$D$5,MATCH($G93,Terms!$A$4:$A$5,0)),INDEX(Terms!$C$4:$C$5,MATCH($G93,Terms!$A$4:$A$5,0))))</f>
        <v>21</v>
      </c>
      <c r="J93" s="17"/>
      <c r="K93" s="18" t="n">
        <f aca="false">COUNTIFS($B$4:$B$500,$B93,$F$4:$F$500,"Enrolled")</f>
        <v>1</v>
      </c>
      <c r="L93" s="19" t="n">
        <f aca="false">IF($F93&lt;&gt;"Enrolled",0,IF($K93=0,0,IF($E93="Wednesday",Rates!$C$9,INDEX(Rates!$C$4:$C$7,MIN($K93,4))/$K93)))</f>
        <v>19.5</v>
      </c>
      <c r="M93" s="19" t="n">
        <f aca="false">ROUND($L93*$I93,2)</f>
        <v>409.5</v>
      </c>
      <c r="N93" s="11" t="n">
        <v>0</v>
      </c>
      <c r="O93" s="12" t="s">
        <v>357</v>
      </c>
      <c r="P93" s="19" t="n">
        <f aca="false">IF(ISNUMBER(SEARCH("reg",$O93)),Rates!$C$11,0)</f>
        <v>0</v>
      </c>
      <c r="Q93" s="19" t="n">
        <f aca="false">IF(ISNUMBER(SEARCH("supplies",$O93)),Rates!$C$12,0)</f>
        <v>25</v>
      </c>
      <c r="R93" s="19" t="n">
        <f aca="false">$M93-$N93+$P93+$Q93</f>
        <v>434.5</v>
      </c>
      <c r="S93" s="11" t="n">
        <v>434.5</v>
      </c>
      <c r="T93" s="19" t="n">
        <f aca="false">ROUND($R93-$S93,2)</f>
        <v>0</v>
      </c>
      <c r="U93" s="18" t="str">
        <f aca="false">IF(ABS($T93)&lt;0.02,"OK","CHECK")</f>
        <v>OK</v>
      </c>
      <c r="V93" s="12"/>
    </row>
    <row r="94" customFormat="false" ht="15" hidden="false" customHeight="false" outlineLevel="0" collapsed="false">
      <c r="A94" s="12" t="s">
        <v>521</v>
      </c>
      <c r="B94" s="12" t="s">
        <v>319</v>
      </c>
      <c r="C94" s="12" t="s">
        <v>320</v>
      </c>
      <c r="D94" s="12" t="s">
        <v>487</v>
      </c>
      <c r="E94" s="12" t="s">
        <v>352</v>
      </c>
      <c r="F94" s="12" t="s">
        <v>353</v>
      </c>
      <c r="G94" s="12" t="s">
        <v>106</v>
      </c>
      <c r="H94" s="12" t="s">
        <v>321</v>
      </c>
      <c r="I94" s="16" t="n">
        <f aca="false">IF($J94&lt;&gt;"",$J94,IF($E94="Wednesday",INDEX(Terms!$D$4:$D$5,MATCH($G94,Terms!$A$4:$A$5,0)),INDEX(Terms!$C$4:$C$5,MATCH($G94,Terms!$A$4:$A$5,0))))</f>
        <v>21</v>
      </c>
      <c r="J94" s="17"/>
      <c r="K94" s="18" t="n">
        <f aca="false">COUNTIFS($B$4:$B$500,$B94,$F$4:$F$500,"Enrolled")</f>
        <v>1</v>
      </c>
      <c r="L94" s="19" t="n">
        <f aca="false">IF($F94&lt;&gt;"Enrolled",0,IF($K94=0,0,IF($E94="Wednesday",Rates!$C$9,INDEX(Rates!$C$4:$C$7,MIN($K94,4))/$K94)))</f>
        <v>19.5</v>
      </c>
      <c r="M94" s="19" t="n">
        <f aca="false">ROUND($L94*$I94,2)</f>
        <v>409.5</v>
      </c>
      <c r="N94" s="11" t="n">
        <v>0</v>
      </c>
      <c r="O94" s="12"/>
      <c r="P94" s="19" t="n">
        <f aca="false">IF(ISNUMBER(SEARCH("reg",$O94)),Rates!$C$11,0)</f>
        <v>0</v>
      </c>
      <c r="Q94" s="19" t="n">
        <f aca="false">IF(ISNUMBER(SEARCH("supplies",$O94)),Rates!$C$12,0)</f>
        <v>0</v>
      </c>
      <c r="R94" s="19" t="n">
        <f aca="false">$M94-$N94+$P94+$Q94</f>
        <v>409.5</v>
      </c>
      <c r="S94" s="11" t="n">
        <v>409.5</v>
      </c>
      <c r="T94" s="19" t="n">
        <f aca="false">ROUND($R94-$S94,2)</f>
        <v>0</v>
      </c>
      <c r="U94" s="18" t="str">
        <f aca="false">IF(ABS($T94)&lt;0.02,"OK","CHECK")</f>
        <v>OK</v>
      </c>
      <c r="V94" s="12" t="s">
        <v>354</v>
      </c>
    </row>
    <row r="95" customFormat="false" ht="15" hidden="false" customHeight="false" outlineLevel="0" collapsed="false">
      <c r="A95" s="12" t="s">
        <v>522</v>
      </c>
      <c r="B95" s="12" t="s">
        <v>322</v>
      </c>
      <c r="C95" s="12" t="s">
        <v>323</v>
      </c>
      <c r="D95" s="12" t="s">
        <v>376</v>
      </c>
      <c r="E95" s="12" t="s">
        <v>352</v>
      </c>
      <c r="F95" s="12" t="s">
        <v>353</v>
      </c>
      <c r="G95" s="12" t="s">
        <v>106</v>
      </c>
      <c r="H95" s="12" t="s">
        <v>523</v>
      </c>
      <c r="I95" s="16" t="n">
        <f aca="false">IF($J95&lt;&gt;"",$J95,IF($E95="Wednesday",INDEX(Terms!$D$4:$D$5,MATCH($G95,Terms!$A$4:$A$5,0)),INDEX(Terms!$C$4:$C$5,MATCH($G95,Terms!$A$4:$A$5,0))))</f>
        <v>21</v>
      </c>
      <c r="J95" s="17"/>
      <c r="K95" s="18" t="n">
        <f aca="false">COUNTIFS($B$4:$B$500,$B95,$F$4:$F$500,"Enrolled")</f>
        <v>2</v>
      </c>
      <c r="L95" s="19" t="n">
        <f aca="false">IF($F95&lt;&gt;"Enrolled",0,IF($K95=0,0,IF($E95="Wednesday",Rates!$C$9,INDEX(Rates!$C$4:$C$7,MIN($K95,4))/$K95)))</f>
        <v>17.25</v>
      </c>
      <c r="M95" s="19" t="n">
        <f aca="false">ROUND($L95*$I95,2)</f>
        <v>362.25</v>
      </c>
      <c r="N95" s="11" t="n">
        <v>0</v>
      </c>
      <c r="O95" s="12" t="s">
        <v>357</v>
      </c>
      <c r="P95" s="19" t="n">
        <f aca="false">IF(ISNUMBER(SEARCH("reg",$O95)),Rates!$C$11,0)</f>
        <v>0</v>
      </c>
      <c r="Q95" s="19" t="n">
        <f aca="false">IF(ISNUMBER(SEARCH("supplies",$O95)),Rates!$C$12,0)</f>
        <v>25</v>
      </c>
      <c r="R95" s="19" t="n">
        <f aca="false">$M95-$N95+$P95+$Q95</f>
        <v>387.25</v>
      </c>
      <c r="S95" s="11" t="n">
        <v>387.25</v>
      </c>
      <c r="T95" s="19" t="n">
        <f aca="false">ROUND($R95-$S95,2)</f>
        <v>0</v>
      </c>
      <c r="U95" s="18" t="str">
        <f aca="false">IF(ABS($T95)&lt;0.02,"OK","CHECK")</f>
        <v>OK</v>
      </c>
      <c r="V95" s="12"/>
    </row>
    <row r="96" customFormat="false" ht="15" hidden="false" customHeight="false" outlineLevel="0" collapsed="false">
      <c r="A96" s="12" t="s">
        <v>524</v>
      </c>
      <c r="B96" s="12" t="s">
        <v>322</v>
      </c>
      <c r="C96" s="12" t="s">
        <v>323</v>
      </c>
      <c r="D96" s="12" t="s">
        <v>394</v>
      </c>
      <c r="E96" s="12" t="s">
        <v>352</v>
      </c>
      <c r="F96" s="12" t="s">
        <v>353</v>
      </c>
      <c r="G96" s="12" t="s">
        <v>106</v>
      </c>
      <c r="H96" s="12" t="s">
        <v>324</v>
      </c>
      <c r="I96" s="16" t="n">
        <f aca="false">IF($J96&lt;&gt;"",$J96,IF($E96="Wednesday",INDEX(Terms!$D$4:$D$5,MATCH($G96,Terms!$A$4:$A$5,0)),INDEX(Terms!$C$4:$C$5,MATCH($G96,Terms!$A$4:$A$5,0))))</f>
        <v>21</v>
      </c>
      <c r="J96" s="17"/>
      <c r="K96" s="18" t="n">
        <f aca="false">COUNTIFS($B$4:$B$500,$B96,$F$4:$F$500,"Enrolled")</f>
        <v>2</v>
      </c>
      <c r="L96" s="19" t="n">
        <f aca="false">IF($F96&lt;&gt;"Enrolled",0,IF($K96=0,0,IF($E96="Wednesday",Rates!$C$9,INDEX(Rates!$C$4:$C$7,MIN($K96,4))/$K96)))</f>
        <v>17.25</v>
      </c>
      <c r="M96" s="19" t="n">
        <f aca="false">ROUND($L96*$I96,2)</f>
        <v>362.25</v>
      </c>
      <c r="N96" s="11" t="n">
        <v>0</v>
      </c>
      <c r="O96" s="12"/>
      <c r="P96" s="19" t="n">
        <f aca="false">IF(ISNUMBER(SEARCH("reg",$O96)),Rates!$C$11,0)</f>
        <v>0</v>
      </c>
      <c r="Q96" s="19" t="n">
        <f aca="false">IF(ISNUMBER(SEARCH("supplies",$O96)),Rates!$C$12,0)</f>
        <v>0</v>
      </c>
      <c r="R96" s="19" t="n">
        <f aca="false">$M96-$N96+$P96+$Q96</f>
        <v>362.25</v>
      </c>
      <c r="S96" s="11" t="n">
        <v>362.25</v>
      </c>
      <c r="T96" s="19" t="n">
        <f aca="false">ROUND($R96-$S96,2)</f>
        <v>0</v>
      </c>
      <c r="U96" s="18" t="str">
        <f aca="false">IF(ABS($T96)&lt;0.02,"OK","CHECK")</f>
        <v>OK</v>
      </c>
      <c r="V96" s="12" t="s">
        <v>374</v>
      </c>
    </row>
    <row r="97" customFormat="false" ht="15" hidden="false" customHeight="false" outlineLevel="0" collapsed="false">
      <c r="A97" s="12" t="s">
        <v>525</v>
      </c>
      <c r="B97" s="12" t="s">
        <v>326</v>
      </c>
      <c r="C97" s="12" t="s">
        <v>327</v>
      </c>
      <c r="D97" s="12" t="s">
        <v>482</v>
      </c>
      <c r="E97" s="12" t="s">
        <v>352</v>
      </c>
      <c r="F97" s="12" t="s">
        <v>353</v>
      </c>
      <c r="G97" s="12" t="s">
        <v>106</v>
      </c>
      <c r="H97" s="12" t="s">
        <v>328</v>
      </c>
      <c r="I97" s="16" t="n">
        <f aca="false">IF($J97&lt;&gt;"",$J97,IF($E97="Wednesday",INDEX(Terms!$D$4:$D$5,MATCH($G97,Terms!$A$4:$A$5,0)),INDEX(Terms!$C$4:$C$5,MATCH($G97,Terms!$A$4:$A$5,0))))</f>
        <v>21</v>
      </c>
      <c r="J97" s="17"/>
      <c r="K97" s="18" t="n">
        <f aca="false">COUNTIFS($B$4:$B$500,$B97,$F$4:$F$500,"Enrolled")</f>
        <v>1</v>
      </c>
      <c r="L97" s="19" t="n">
        <f aca="false">IF($F97&lt;&gt;"Enrolled",0,IF($K97=0,0,IF($E97="Wednesday",Rates!$C$9,INDEX(Rates!$C$4:$C$7,MIN($K97,4))/$K97)))</f>
        <v>19.5</v>
      </c>
      <c r="M97" s="19" t="n">
        <f aca="false">ROUND($L97*$I97,2)</f>
        <v>409.5</v>
      </c>
      <c r="N97" s="11" t="n">
        <v>0</v>
      </c>
      <c r="O97" s="12"/>
      <c r="P97" s="19" t="n">
        <f aca="false">IF(ISNUMBER(SEARCH("reg",$O97)),Rates!$C$11,0)</f>
        <v>0</v>
      </c>
      <c r="Q97" s="19" t="n">
        <f aca="false">IF(ISNUMBER(SEARCH("supplies",$O97)),Rates!$C$12,0)</f>
        <v>0</v>
      </c>
      <c r="R97" s="19" t="n">
        <f aca="false">$M97-$N97+$P97+$Q97</f>
        <v>409.5</v>
      </c>
      <c r="S97" s="11" t="n">
        <v>409.5</v>
      </c>
      <c r="T97" s="19" t="n">
        <f aca="false">ROUND($R97-$S97,2)</f>
        <v>0</v>
      </c>
      <c r="U97" s="18" t="str">
        <f aca="false">IF(ABS($T97)&lt;0.02,"OK","CHECK")</f>
        <v>OK</v>
      </c>
      <c r="V97" s="12" t="s">
        <v>374</v>
      </c>
    </row>
  </sheetData>
  <autoFilter ref="A3:V97"/>
  <conditionalFormatting sqref="A4:V97">
    <cfRule type="expression" priority="2" aboveAverage="0" equalAverage="0" bottom="0" percent="0" rank="0" text="" dxfId="7">
      <formula>$U4="CHECK"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6"/>
    <col collapsed="false" customWidth="true" hidden="false" outlineLevel="0" max="10" min="10" style="0" width="16"/>
    <col collapsed="false" customWidth="true" hidden="false" outlineLevel="0" max="11" min="11" style="0" width="60"/>
    <col collapsed="false" customWidth="true" hidden="false" outlineLevel="0" max="12" min="12" style="0" width="20"/>
    <col collapsed="false" customWidth="true" hidden="false" outlineLevel="0" max="13" min="13" style="0" width="40"/>
    <col collapsed="false" customWidth="true" hidden="false" outlineLevel="0" max="14" min="14" style="0" width="46"/>
  </cols>
  <sheetData>
    <row r="1" customFormat="false" ht="16.15" hidden="false" customHeight="false" outlineLevel="0" collapsed="false">
      <c r="A1" s="1" t="s">
        <v>526</v>
      </c>
    </row>
    <row r="3" customFormat="false" ht="35.05" hidden="false" customHeight="false" outlineLevel="0" collapsed="false">
      <c r="A3" s="10" t="s">
        <v>527</v>
      </c>
      <c r="B3" s="10" t="s">
        <v>528</v>
      </c>
      <c r="C3" s="10" t="s">
        <v>529</v>
      </c>
      <c r="D3" s="10" t="s">
        <v>530</v>
      </c>
      <c r="E3" s="10" t="s">
        <v>335</v>
      </c>
      <c r="F3" s="10" t="s">
        <v>531</v>
      </c>
      <c r="G3" s="10" t="s">
        <v>532</v>
      </c>
      <c r="H3" s="10" t="s">
        <v>533</v>
      </c>
      <c r="I3" s="10" t="s">
        <v>534</v>
      </c>
      <c r="J3" s="10" t="s">
        <v>535</v>
      </c>
      <c r="K3" s="10" t="s">
        <v>536</v>
      </c>
      <c r="L3" s="10" t="s">
        <v>537</v>
      </c>
      <c r="M3" s="10" t="s">
        <v>538</v>
      </c>
      <c r="N3" s="10" t="s">
        <v>539</v>
      </c>
    </row>
    <row r="4" customFormat="false" ht="15" hidden="false" customHeight="false" outlineLevel="0" collapsed="false">
      <c r="A4" s="26" t="n">
        <v>46029</v>
      </c>
      <c r="B4" s="27" t="n">
        <v>434.5</v>
      </c>
      <c r="C4" s="28" t="s">
        <v>540</v>
      </c>
      <c r="D4" s="28" t="s">
        <v>363</v>
      </c>
      <c r="E4" s="28" t="s">
        <v>106</v>
      </c>
      <c r="F4" s="29"/>
      <c r="G4" s="29" t="str">
        <f aca="false">IF($F4&lt;&gt;"",$F4,$J4)</f>
        <v>FAM-055</v>
      </c>
      <c r="H4" s="29" t="str">
        <f aca="false">IF($G4&lt;&gt;"","yes","")</f>
        <v>yes</v>
      </c>
      <c r="I4" s="30" t="s">
        <v>541</v>
      </c>
      <c r="J4" s="30" t="s">
        <v>306</v>
      </c>
      <c r="K4" s="30"/>
      <c r="L4" s="30" t="s">
        <v>542</v>
      </c>
      <c r="M4" s="30" t="s">
        <v>543</v>
      </c>
      <c r="N4" s="28" t="s">
        <v>544</v>
      </c>
    </row>
    <row r="5" customFormat="false" ht="15" hidden="false" customHeight="false" outlineLevel="0" collapsed="false">
      <c r="A5" s="26" t="n">
        <v>46034</v>
      </c>
      <c r="B5" s="27" t="n">
        <v>434.5</v>
      </c>
      <c r="C5" s="28" t="s">
        <v>203</v>
      </c>
      <c r="D5" s="28" t="s">
        <v>545</v>
      </c>
      <c r="E5" s="28" t="s">
        <v>106</v>
      </c>
      <c r="F5" s="29"/>
      <c r="G5" s="29" t="str">
        <f aca="false">IF($F5&lt;&gt;"",$F5,$J5)</f>
        <v>FAM-024</v>
      </c>
      <c r="H5" s="29" t="str">
        <f aca="false">IF($G5&lt;&gt;"","yes","")</f>
        <v>yes</v>
      </c>
      <c r="I5" s="30" t="s">
        <v>546</v>
      </c>
      <c r="J5" s="30" t="s">
        <v>200</v>
      </c>
      <c r="K5" s="30"/>
      <c r="L5" s="30" t="s">
        <v>547</v>
      </c>
      <c r="M5" s="30" t="s">
        <v>543</v>
      </c>
      <c r="N5" s="28" t="s">
        <v>548</v>
      </c>
    </row>
    <row r="6" customFormat="false" ht="15" hidden="false" customHeight="false" outlineLevel="0" collapsed="false">
      <c r="A6" s="31" t="n">
        <v>46038</v>
      </c>
      <c r="B6" s="32" t="n">
        <v>229.75</v>
      </c>
      <c r="C6" s="33" t="s">
        <v>549</v>
      </c>
      <c r="D6" s="33" t="s">
        <v>287</v>
      </c>
      <c r="E6" s="33" t="s">
        <v>106</v>
      </c>
      <c r="F6" s="34"/>
      <c r="G6" s="34" t="n">
        <f aca="false">IF($F6&lt;&gt;"",$F6,$J6)</f>
        <v>0</v>
      </c>
      <c r="H6" s="34" t="str">
        <f aca="false">IF($G6&lt;&gt;"","yes","")</f>
        <v/>
      </c>
      <c r="I6" s="35" t="s">
        <v>550</v>
      </c>
      <c r="J6" s="35"/>
      <c r="K6" s="35" t="s">
        <v>551</v>
      </c>
      <c r="L6" s="35" t="s">
        <v>552</v>
      </c>
      <c r="M6" s="35"/>
      <c r="N6" s="33" t="s">
        <v>553</v>
      </c>
    </row>
    <row r="7" customFormat="false" ht="15" hidden="false" customHeight="false" outlineLevel="0" collapsed="false">
      <c r="A7" s="26" t="n">
        <v>46041</v>
      </c>
      <c r="B7" s="27" t="n">
        <v>217.25</v>
      </c>
      <c r="C7" s="28" t="s">
        <v>199</v>
      </c>
      <c r="D7" s="28" t="s">
        <v>554</v>
      </c>
      <c r="E7" s="28" t="s">
        <v>106</v>
      </c>
      <c r="F7" s="29"/>
      <c r="G7" s="29" t="str">
        <f aca="false">IF($F7&lt;&gt;"",$F7,$J7)</f>
        <v>FAM-023</v>
      </c>
      <c r="H7" s="29" t="str">
        <f aca="false">IF($G7&lt;&gt;"","yes","")</f>
        <v>yes</v>
      </c>
      <c r="I7" s="30" t="s">
        <v>546</v>
      </c>
      <c r="J7" s="30" t="s">
        <v>196</v>
      </c>
      <c r="K7" s="30"/>
      <c r="L7" s="30" t="s">
        <v>555</v>
      </c>
      <c r="M7" s="30" t="s">
        <v>556</v>
      </c>
      <c r="N7" s="28" t="s">
        <v>557</v>
      </c>
    </row>
    <row r="8" customFormat="false" ht="15" hidden="false" customHeight="false" outlineLevel="0" collapsed="false">
      <c r="A8" s="26" t="n">
        <v>46042</v>
      </c>
      <c r="B8" s="27" t="n">
        <v>1184</v>
      </c>
      <c r="C8" s="28" t="s">
        <v>147</v>
      </c>
      <c r="D8" s="28" t="s">
        <v>146</v>
      </c>
      <c r="E8" s="28" t="s">
        <v>106</v>
      </c>
      <c r="F8" s="29"/>
      <c r="G8" s="29" t="str">
        <f aca="false">IF($F8&lt;&gt;"",$F8,$J8)</f>
        <v>FAM-008</v>
      </c>
      <c r="H8" s="29" t="str">
        <f aca="false">IF($G8&lt;&gt;"","yes","")</f>
        <v>yes</v>
      </c>
      <c r="I8" s="30" t="s">
        <v>546</v>
      </c>
      <c r="J8" s="30" t="s">
        <v>144</v>
      </c>
      <c r="K8" s="30"/>
      <c r="L8" s="30" t="s">
        <v>558</v>
      </c>
      <c r="M8" s="30" t="s">
        <v>559</v>
      </c>
      <c r="N8" s="28" t="s">
        <v>560</v>
      </c>
    </row>
    <row r="9" customFormat="false" ht="15" hidden="false" customHeight="false" outlineLevel="0" collapsed="false">
      <c r="A9" s="26" t="n">
        <v>46044</v>
      </c>
      <c r="B9" s="27" t="n">
        <v>217.25</v>
      </c>
      <c r="C9" s="28" t="s">
        <v>561</v>
      </c>
      <c r="D9" s="28" t="s">
        <v>441</v>
      </c>
      <c r="E9" s="28" t="s">
        <v>106</v>
      </c>
      <c r="F9" s="29"/>
      <c r="G9" s="29" t="str">
        <f aca="false">IF($F9&lt;&gt;"",$F9,$J9)</f>
        <v>FAM-027</v>
      </c>
      <c r="H9" s="29" t="str">
        <f aca="false">IF($G9&lt;&gt;"","yes","")</f>
        <v>yes</v>
      </c>
      <c r="I9" s="30" t="s">
        <v>541</v>
      </c>
      <c r="J9" s="30" t="s">
        <v>211</v>
      </c>
      <c r="K9" s="30"/>
      <c r="L9" s="30" t="s">
        <v>562</v>
      </c>
      <c r="M9" s="30" t="s">
        <v>556</v>
      </c>
      <c r="N9" s="28" t="s">
        <v>563</v>
      </c>
    </row>
    <row r="10" customFormat="false" ht="15" hidden="false" customHeight="false" outlineLevel="0" collapsed="false">
      <c r="A10" s="26" t="n">
        <v>46044</v>
      </c>
      <c r="B10" s="27" t="n">
        <v>434.5</v>
      </c>
      <c r="C10" s="28" t="s">
        <v>564</v>
      </c>
      <c r="D10" s="28" t="s">
        <v>565</v>
      </c>
      <c r="E10" s="28" t="s">
        <v>106</v>
      </c>
      <c r="F10" s="29"/>
      <c r="G10" s="29" t="str">
        <f aca="false">IF($F10&lt;&gt;"",$F10,$J10)</f>
        <v>FAM-004</v>
      </c>
      <c r="H10" s="29" t="str">
        <f aca="false">IF($G10&lt;&gt;"","yes","")</f>
        <v>yes</v>
      </c>
      <c r="I10" s="30" t="s">
        <v>541</v>
      </c>
      <c r="J10" s="30" t="s">
        <v>130</v>
      </c>
      <c r="K10" s="30"/>
      <c r="L10" s="30" t="s">
        <v>566</v>
      </c>
      <c r="M10" s="30" t="s">
        <v>543</v>
      </c>
      <c r="N10" s="28" t="s">
        <v>567</v>
      </c>
    </row>
    <row r="11" customFormat="false" ht="15" hidden="false" customHeight="false" outlineLevel="0" collapsed="false">
      <c r="A11" s="26" t="n">
        <v>46048</v>
      </c>
      <c r="B11" s="27" t="n">
        <v>204.75</v>
      </c>
      <c r="C11" s="28" t="s">
        <v>568</v>
      </c>
      <c r="D11" s="28" t="s">
        <v>569</v>
      </c>
      <c r="E11" s="28" t="s">
        <v>101</v>
      </c>
      <c r="F11" s="29"/>
      <c r="G11" s="29" t="str">
        <f aca="false">IF($F11&lt;&gt;"",$F11,$J11)</f>
        <v>FAM-021</v>
      </c>
      <c r="H11" s="29" t="str">
        <f aca="false">IF($G11&lt;&gt;"","yes","")</f>
        <v>yes</v>
      </c>
      <c r="I11" s="30" t="s">
        <v>541</v>
      </c>
      <c r="J11" s="30" t="s">
        <v>189</v>
      </c>
      <c r="K11" s="30"/>
      <c r="L11" s="30" t="s">
        <v>570</v>
      </c>
      <c r="M11" s="30" t="s">
        <v>571</v>
      </c>
      <c r="N11" s="28" t="s">
        <v>572</v>
      </c>
    </row>
    <row r="12" customFormat="false" ht="15" hidden="false" customHeight="false" outlineLevel="0" collapsed="false">
      <c r="A12" s="26" t="n">
        <v>46048</v>
      </c>
      <c r="B12" s="27" t="n">
        <v>387.25</v>
      </c>
      <c r="C12" s="28" t="s">
        <v>256</v>
      </c>
      <c r="D12" s="28" t="s">
        <v>573</v>
      </c>
      <c r="E12" s="28" t="s">
        <v>106</v>
      </c>
      <c r="F12" s="29"/>
      <c r="G12" s="29" t="str">
        <f aca="false">IF($F12&lt;&gt;"",$F12,$J12)</f>
        <v>FAM-039</v>
      </c>
      <c r="H12" s="29" t="str">
        <f aca="false">IF($G12&lt;&gt;"","yes","")</f>
        <v>yes</v>
      </c>
      <c r="I12" s="30" t="s">
        <v>546</v>
      </c>
      <c r="J12" s="30" t="s">
        <v>253</v>
      </c>
      <c r="K12" s="30"/>
      <c r="L12" s="30" t="s">
        <v>574</v>
      </c>
      <c r="M12" s="30" t="s">
        <v>556</v>
      </c>
      <c r="N12" s="28" t="s">
        <v>575</v>
      </c>
    </row>
    <row r="13" customFormat="false" ht="15" hidden="false" customHeight="false" outlineLevel="0" collapsed="false">
      <c r="A13" s="26" t="n">
        <v>46053</v>
      </c>
      <c r="B13" s="27" t="n">
        <v>434.5</v>
      </c>
      <c r="C13" s="28" t="s">
        <v>576</v>
      </c>
      <c r="D13" s="28" t="s">
        <v>577</v>
      </c>
      <c r="E13" s="28" t="s">
        <v>106</v>
      </c>
      <c r="F13" s="29"/>
      <c r="G13" s="29" t="str">
        <f aca="false">IF($F13&lt;&gt;"",$F13,$J13)</f>
        <v>FAM-031</v>
      </c>
      <c r="H13" s="29" t="str">
        <f aca="false">IF($G13&lt;&gt;"","yes","")</f>
        <v>yes</v>
      </c>
      <c r="I13" s="30" t="s">
        <v>541</v>
      </c>
      <c r="J13" s="30" t="s">
        <v>224</v>
      </c>
      <c r="K13" s="30"/>
      <c r="L13" s="30" t="s">
        <v>578</v>
      </c>
      <c r="M13" s="30" t="s">
        <v>543</v>
      </c>
      <c r="N13" s="28" t="s">
        <v>579</v>
      </c>
    </row>
    <row r="14" customFormat="false" ht="15" hidden="false" customHeight="false" outlineLevel="0" collapsed="false">
      <c r="A14" s="26" t="n">
        <v>46053</v>
      </c>
      <c r="B14" s="27" t="n">
        <v>374.75</v>
      </c>
      <c r="C14" s="28" t="s">
        <v>295</v>
      </c>
      <c r="D14" s="28" t="s">
        <v>580</v>
      </c>
      <c r="E14" s="28" t="s">
        <v>106</v>
      </c>
      <c r="F14" s="29"/>
      <c r="G14" s="29" t="str">
        <f aca="false">IF($F14&lt;&gt;"",$F14,$J14)</f>
        <v>FAM-051</v>
      </c>
      <c r="H14" s="29" t="str">
        <f aca="false">IF($G14&lt;&gt;"","yes","")</f>
        <v>yes</v>
      </c>
      <c r="I14" s="30" t="s">
        <v>546</v>
      </c>
      <c r="J14" s="30" t="s">
        <v>292</v>
      </c>
      <c r="K14" s="30"/>
      <c r="L14" s="30" t="s">
        <v>581</v>
      </c>
      <c r="M14" s="30" t="s">
        <v>556</v>
      </c>
      <c r="N14" s="28" t="s">
        <v>582</v>
      </c>
    </row>
    <row r="15" customFormat="false" ht="15" hidden="false" customHeight="false" outlineLevel="0" collapsed="false">
      <c r="A15" s="26" t="n">
        <v>46053</v>
      </c>
      <c r="B15" s="27" t="n">
        <v>1041</v>
      </c>
      <c r="C15" s="28" t="s">
        <v>188</v>
      </c>
      <c r="D15" s="28" t="s">
        <v>187</v>
      </c>
      <c r="E15" s="28" t="s">
        <v>106</v>
      </c>
      <c r="F15" s="29"/>
      <c r="G15" s="29" t="str">
        <f aca="false">IF($F15&lt;&gt;"",$F15,$J15)</f>
        <v>FAM-020</v>
      </c>
      <c r="H15" s="29" t="str">
        <f aca="false">IF($G15&lt;&gt;"","yes","")</f>
        <v>yes</v>
      </c>
      <c r="I15" s="30" t="s">
        <v>546</v>
      </c>
      <c r="J15" s="30" t="s">
        <v>185</v>
      </c>
      <c r="K15" s="30"/>
      <c r="L15" s="30" t="s">
        <v>583</v>
      </c>
      <c r="M15" s="30" t="s">
        <v>543</v>
      </c>
      <c r="N15" s="28" t="s">
        <v>584</v>
      </c>
    </row>
    <row r="16" customFormat="false" ht="15" hidden="false" customHeight="false" outlineLevel="0" collapsed="false">
      <c r="A16" s="26" t="n">
        <v>46054</v>
      </c>
      <c r="B16" s="27" t="n">
        <v>434.5</v>
      </c>
      <c r="C16" s="28" t="s">
        <v>585</v>
      </c>
      <c r="D16" s="28" t="s">
        <v>586</v>
      </c>
      <c r="E16" s="28" t="s">
        <v>101</v>
      </c>
      <c r="F16" s="29"/>
      <c r="G16" s="29" t="str">
        <f aca="false">IF($F16&lt;&gt;"",$F16,$J16)</f>
        <v>FAM-044</v>
      </c>
      <c r="H16" s="29" t="str">
        <f aca="false">IF($G16&lt;&gt;"","yes","")</f>
        <v>yes</v>
      </c>
      <c r="I16" s="30" t="s">
        <v>541</v>
      </c>
      <c r="J16" s="30" t="s">
        <v>271</v>
      </c>
      <c r="K16" s="30"/>
      <c r="L16" s="30" t="s">
        <v>587</v>
      </c>
      <c r="M16" s="30" t="s">
        <v>571</v>
      </c>
      <c r="N16" s="28" t="s">
        <v>588</v>
      </c>
    </row>
    <row r="17" customFormat="false" ht="15" hidden="false" customHeight="false" outlineLevel="0" collapsed="false">
      <c r="A17" s="26" t="n">
        <v>46057</v>
      </c>
      <c r="B17" s="27" t="n">
        <v>434.5</v>
      </c>
      <c r="C17" s="28" t="s">
        <v>195</v>
      </c>
      <c r="D17" s="28" t="s">
        <v>589</v>
      </c>
      <c r="E17" s="28" t="s">
        <v>106</v>
      </c>
      <c r="F17" s="29"/>
      <c r="G17" s="29" t="str">
        <f aca="false">IF($F17&lt;&gt;"",$F17,$J17)</f>
        <v>FAM-022</v>
      </c>
      <c r="H17" s="29" t="str">
        <f aca="false">IF($G17&lt;&gt;"","yes","")</f>
        <v>yes</v>
      </c>
      <c r="I17" s="30" t="s">
        <v>546</v>
      </c>
      <c r="J17" s="30" t="s">
        <v>192</v>
      </c>
      <c r="K17" s="30"/>
      <c r="L17" s="30" t="s">
        <v>590</v>
      </c>
      <c r="M17" s="30" t="s">
        <v>543</v>
      </c>
      <c r="N17" s="28" t="s">
        <v>591</v>
      </c>
    </row>
    <row r="18" customFormat="false" ht="15" hidden="false" customHeight="false" outlineLevel="0" collapsed="false">
      <c r="A18" s="26" t="n">
        <v>46058</v>
      </c>
      <c r="B18" s="27" t="n">
        <v>520.5</v>
      </c>
      <c r="C18" s="28" t="s">
        <v>245</v>
      </c>
      <c r="D18" s="28" t="s">
        <v>592</v>
      </c>
      <c r="E18" s="28" t="s">
        <v>101</v>
      </c>
      <c r="F18" s="29"/>
      <c r="G18" s="29" t="str">
        <f aca="false">IF($F18&lt;&gt;"",$F18,$J18)</f>
        <v>FAM-036</v>
      </c>
      <c r="H18" s="29" t="str">
        <f aca="false">IF($G18&lt;&gt;"","yes","")</f>
        <v>yes</v>
      </c>
      <c r="I18" s="30" t="s">
        <v>546</v>
      </c>
      <c r="J18" s="30" t="s">
        <v>242</v>
      </c>
      <c r="K18" s="30"/>
      <c r="L18" s="30" t="s">
        <v>593</v>
      </c>
      <c r="M18" s="30"/>
      <c r="N18" s="28" t="s">
        <v>594</v>
      </c>
    </row>
    <row r="19" customFormat="false" ht="15" hidden="false" customHeight="false" outlineLevel="0" collapsed="false">
      <c r="A19" s="26" t="n">
        <v>46059</v>
      </c>
      <c r="B19" s="27" t="n">
        <v>229.75</v>
      </c>
      <c r="C19" s="28" t="s">
        <v>549</v>
      </c>
      <c r="D19" s="28" t="s">
        <v>595</v>
      </c>
      <c r="E19" s="28" t="s">
        <v>106</v>
      </c>
      <c r="F19" s="29"/>
      <c r="G19" s="29" t="str">
        <f aca="false">IF($F19&lt;&gt;"",$F19,$J19)</f>
        <v>FAM-048</v>
      </c>
      <c r="H19" s="29" t="str">
        <f aca="false">IF($G19&lt;&gt;"","yes","")</f>
        <v>yes</v>
      </c>
      <c r="I19" s="30" t="s">
        <v>541</v>
      </c>
      <c r="J19" s="30" t="s">
        <v>282</v>
      </c>
      <c r="K19" s="30"/>
      <c r="L19" s="30" t="s">
        <v>596</v>
      </c>
      <c r="M19" s="30" t="s">
        <v>556</v>
      </c>
      <c r="N19" s="28" t="s">
        <v>597</v>
      </c>
    </row>
    <row r="20" customFormat="false" ht="15" hidden="false" customHeight="false" outlineLevel="0" collapsed="false">
      <c r="A20" s="26" t="n">
        <v>46060</v>
      </c>
      <c r="B20" s="27" t="n">
        <v>409.5</v>
      </c>
      <c r="C20" s="28" t="s">
        <v>598</v>
      </c>
      <c r="D20" s="28" t="s">
        <v>599</v>
      </c>
      <c r="E20" s="28" t="s">
        <v>101</v>
      </c>
      <c r="F20" s="29"/>
      <c r="G20" s="29" t="str">
        <f aca="false">IF($F20&lt;&gt;"",$F20,$J20)</f>
        <v>FAM-056</v>
      </c>
      <c r="H20" s="29" t="str">
        <f aca="false">IF($G20&lt;&gt;"","yes","")</f>
        <v>yes</v>
      </c>
      <c r="I20" s="30" t="s">
        <v>541</v>
      </c>
      <c r="J20" s="30" t="s">
        <v>309</v>
      </c>
      <c r="K20" s="30"/>
      <c r="L20" s="30" t="s">
        <v>600</v>
      </c>
      <c r="M20" s="30" t="s">
        <v>571</v>
      </c>
      <c r="N20" s="28" t="s">
        <v>601</v>
      </c>
    </row>
    <row r="21" customFormat="false" ht="15" hidden="false" customHeight="false" outlineLevel="0" collapsed="false">
      <c r="A21" s="26" t="n">
        <v>46060</v>
      </c>
      <c r="B21" s="27" t="n">
        <v>217.25</v>
      </c>
      <c r="C21" s="28" t="s">
        <v>199</v>
      </c>
      <c r="D21" s="28" t="s">
        <v>602</v>
      </c>
      <c r="E21" s="28" t="s">
        <v>106</v>
      </c>
      <c r="F21" s="29"/>
      <c r="G21" s="29" t="str">
        <f aca="false">IF($F21&lt;&gt;"",$F21,$J21)</f>
        <v>FAM-023</v>
      </c>
      <c r="H21" s="29" t="str">
        <f aca="false">IF($G21&lt;&gt;"","yes","")</f>
        <v>yes</v>
      </c>
      <c r="I21" s="30" t="s">
        <v>546</v>
      </c>
      <c r="J21" s="30" t="s">
        <v>196</v>
      </c>
      <c r="K21" s="30"/>
      <c r="L21" s="30" t="s">
        <v>603</v>
      </c>
      <c r="M21" s="30" t="s">
        <v>556</v>
      </c>
      <c r="N21" s="28" t="s">
        <v>604</v>
      </c>
    </row>
    <row r="22" customFormat="false" ht="15" hidden="false" customHeight="false" outlineLevel="0" collapsed="false">
      <c r="A22" s="26" t="n">
        <v>46063</v>
      </c>
      <c r="B22" s="27" t="n">
        <v>434.5</v>
      </c>
      <c r="C22" s="28" t="s">
        <v>264</v>
      </c>
      <c r="D22" s="28" t="s">
        <v>263</v>
      </c>
      <c r="E22" s="28" t="s">
        <v>106</v>
      </c>
      <c r="F22" s="29"/>
      <c r="G22" s="29" t="str">
        <f aca="false">IF($F22&lt;&gt;"",$F22,$J22)</f>
        <v>FAM-041</v>
      </c>
      <c r="H22" s="29" t="str">
        <f aca="false">IF($G22&lt;&gt;"","yes","")</f>
        <v>yes</v>
      </c>
      <c r="I22" s="30" t="s">
        <v>546</v>
      </c>
      <c r="J22" s="30" t="s">
        <v>261</v>
      </c>
      <c r="K22" s="30"/>
      <c r="L22" s="30" t="s">
        <v>605</v>
      </c>
      <c r="M22" s="30" t="s">
        <v>543</v>
      </c>
      <c r="N22" s="28" t="s">
        <v>606</v>
      </c>
    </row>
    <row r="23" customFormat="false" ht="15" hidden="false" customHeight="false" outlineLevel="0" collapsed="false">
      <c r="A23" s="26" t="n">
        <v>46063</v>
      </c>
      <c r="B23" s="27" t="n">
        <v>387.25</v>
      </c>
      <c r="C23" s="28" t="s">
        <v>256</v>
      </c>
      <c r="D23" s="28" t="s">
        <v>607</v>
      </c>
      <c r="E23" s="28" t="s">
        <v>106</v>
      </c>
      <c r="F23" s="29"/>
      <c r="G23" s="29" t="str">
        <f aca="false">IF($F23&lt;&gt;"",$F23,$J23)</f>
        <v>FAM-039</v>
      </c>
      <c r="H23" s="29" t="str">
        <f aca="false">IF($G23&lt;&gt;"","yes","")</f>
        <v>yes</v>
      </c>
      <c r="I23" s="30" t="s">
        <v>546</v>
      </c>
      <c r="J23" s="30" t="s">
        <v>253</v>
      </c>
      <c r="K23" s="30"/>
      <c r="L23" s="30" t="s">
        <v>603</v>
      </c>
      <c r="M23" s="30" t="s">
        <v>556</v>
      </c>
      <c r="N23" s="28" t="s">
        <v>608</v>
      </c>
    </row>
    <row r="24" customFormat="false" ht="15" hidden="false" customHeight="false" outlineLevel="0" collapsed="false">
      <c r="A24" s="26" t="n">
        <v>46064</v>
      </c>
      <c r="B24" s="27" t="n">
        <v>204.75</v>
      </c>
      <c r="C24" s="28" t="s">
        <v>568</v>
      </c>
      <c r="D24" s="28" t="s">
        <v>607</v>
      </c>
      <c r="E24" s="28" t="s">
        <v>106</v>
      </c>
      <c r="F24" s="29"/>
      <c r="G24" s="29" t="str">
        <f aca="false">IF($F24&lt;&gt;"",$F24,$J24)</f>
        <v>FAM-021</v>
      </c>
      <c r="H24" s="29" t="str">
        <f aca="false">IF($G24&lt;&gt;"","yes","")</f>
        <v>yes</v>
      </c>
      <c r="I24" s="30" t="s">
        <v>541</v>
      </c>
      <c r="J24" s="30" t="s">
        <v>189</v>
      </c>
      <c r="K24" s="30"/>
      <c r="L24" s="30" t="s">
        <v>609</v>
      </c>
      <c r="M24" s="30" t="s">
        <v>610</v>
      </c>
      <c r="N24" s="28" t="s">
        <v>611</v>
      </c>
    </row>
    <row r="25" customFormat="false" ht="15" hidden="false" customHeight="false" outlineLevel="0" collapsed="false">
      <c r="A25" s="26" t="n">
        <v>46064</v>
      </c>
      <c r="B25" s="27" t="n">
        <v>409.5</v>
      </c>
      <c r="C25" s="28" t="s">
        <v>612</v>
      </c>
      <c r="D25" s="28" t="s">
        <v>613</v>
      </c>
      <c r="E25" s="28" t="s">
        <v>106</v>
      </c>
      <c r="F25" s="29"/>
      <c r="G25" s="29" t="str">
        <f aca="false">IF($F25&lt;&gt;"",$F25,$J25)</f>
        <v>FAM-059</v>
      </c>
      <c r="H25" s="29" t="str">
        <f aca="false">IF($G25&lt;&gt;"","yes","")</f>
        <v>yes</v>
      </c>
      <c r="I25" s="30" t="s">
        <v>541</v>
      </c>
      <c r="J25" s="30" t="s">
        <v>319</v>
      </c>
      <c r="K25" s="30"/>
      <c r="L25" s="30" t="s">
        <v>614</v>
      </c>
      <c r="M25" s="30" t="s">
        <v>543</v>
      </c>
      <c r="N25" s="28" t="s">
        <v>615</v>
      </c>
    </row>
    <row r="26" customFormat="false" ht="15" hidden="false" customHeight="false" outlineLevel="0" collapsed="false">
      <c r="A26" s="26" t="n">
        <v>46065</v>
      </c>
      <c r="B26" s="27" t="n">
        <v>719.5</v>
      </c>
      <c r="C26" s="28" t="s">
        <v>155</v>
      </c>
      <c r="D26" s="28" t="s">
        <v>616</v>
      </c>
      <c r="E26" s="28" t="s">
        <v>106</v>
      </c>
      <c r="F26" s="29"/>
      <c r="G26" s="29" t="str">
        <f aca="false">IF($F26&lt;&gt;"",$F26,$J26)</f>
        <v>FAM-010</v>
      </c>
      <c r="H26" s="29" t="str">
        <f aca="false">IF($G26&lt;&gt;"","yes","")</f>
        <v>yes</v>
      </c>
      <c r="I26" s="30" t="s">
        <v>546</v>
      </c>
      <c r="J26" s="30" t="s">
        <v>152</v>
      </c>
      <c r="K26" s="30"/>
      <c r="L26" s="30" t="s">
        <v>617</v>
      </c>
      <c r="M26" s="30" t="s">
        <v>618</v>
      </c>
      <c r="N26" s="28" t="s">
        <v>619</v>
      </c>
    </row>
    <row r="27" customFormat="false" ht="15" hidden="false" customHeight="false" outlineLevel="0" collapsed="false">
      <c r="A27" s="26" t="n">
        <v>46068</v>
      </c>
      <c r="B27" s="27" t="n">
        <v>767.5</v>
      </c>
      <c r="C27" s="28" t="s">
        <v>620</v>
      </c>
      <c r="D27" s="28" t="s">
        <v>621</v>
      </c>
      <c r="E27" s="28" t="s">
        <v>101</v>
      </c>
      <c r="F27" s="29"/>
      <c r="G27" s="29" t="str">
        <f aca="false">IF($F27&lt;&gt;"",$F27,$J27)</f>
        <v>FAM-042</v>
      </c>
      <c r="H27" s="29" t="str">
        <f aca="false">IF($G27&lt;&gt;"","yes","")</f>
        <v>yes</v>
      </c>
      <c r="I27" s="30" t="s">
        <v>541</v>
      </c>
      <c r="J27" s="30" t="s">
        <v>265</v>
      </c>
      <c r="K27" s="30"/>
      <c r="L27" s="30" t="s">
        <v>622</v>
      </c>
      <c r="M27" s="30"/>
      <c r="N27" s="28" t="s">
        <v>623</v>
      </c>
    </row>
    <row r="28" customFormat="false" ht="15" hidden="false" customHeight="false" outlineLevel="0" collapsed="false">
      <c r="A28" s="26" t="n">
        <v>46069</v>
      </c>
      <c r="B28" s="27" t="n">
        <v>409.5</v>
      </c>
      <c r="C28" s="28" t="s">
        <v>624</v>
      </c>
      <c r="D28" s="28" t="s">
        <v>396</v>
      </c>
      <c r="E28" s="28" t="s">
        <v>106</v>
      </c>
      <c r="F28" s="29"/>
      <c r="G28" s="29" t="str">
        <f aca="false">IF($F28&lt;&gt;"",$F28,$J28)</f>
        <v>FAM-043</v>
      </c>
      <c r="H28" s="29" t="str">
        <f aca="false">IF($G28&lt;&gt;"","yes","")</f>
        <v>yes</v>
      </c>
      <c r="I28" s="30" t="s">
        <v>541</v>
      </c>
      <c r="J28" s="30" t="s">
        <v>268</v>
      </c>
      <c r="K28" s="30"/>
      <c r="L28" s="30" t="s">
        <v>625</v>
      </c>
      <c r="M28" s="30" t="s">
        <v>543</v>
      </c>
      <c r="N28" s="28" t="s">
        <v>626</v>
      </c>
    </row>
    <row r="29" customFormat="false" ht="15" hidden="false" customHeight="false" outlineLevel="0" collapsed="false">
      <c r="A29" s="36" t="n">
        <v>46070</v>
      </c>
      <c r="B29" s="37" t="n">
        <v>434.5</v>
      </c>
      <c r="C29" s="38" t="s">
        <v>627</v>
      </c>
      <c r="D29" s="38" t="s">
        <v>146</v>
      </c>
      <c r="E29" s="38" t="s">
        <v>106</v>
      </c>
      <c r="F29" s="39"/>
      <c r="G29" s="39" t="n">
        <f aca="false">IF($F29&lt;&gt;"",$F29,$J29)</f>
        <v>0</v>
      </c>
      <c r="H29" s="39" t="str">
        <f aca="false">IF($G29&lt;&gt;"","yes","")</f>
        <v/>
      </c>
      <c r="I29" s="40" t="s">
        <v>628</v>
      </c>
      <c r="J29" s="40"/>
      <c r="K29" s="40" t="s">
        <v>629</v>
      </c>
      <c r="L29" s="40" t="s">
        <v>630</v>
      </c>
      <c r="M29" s="40" t="s">
        <v>571</v>
      </c>
      <c r="N29" s="38" t="s">
        <v>631</v>
      </c>
    </row>
    <row r="30" customFormat="false" ht="15" hidden="false" customHeight="false" outlineLevel="0" collapsed="false">
      <c r="A30" s="26" t="n">
        <v>46070</v>
      </c>
      <c r="B30" s="27" t="n">
        <v>774.5</v>
      </c>
      <c r="C30" s="28" t="s">
        <v>632</v>
      </c>
      <c r="D30" s="28" t="s">
        <v>633</v>
      </c>
      <c r="E30" s="28" t="s">
        <v>106</v>
      </c>
      <c r="F30" s="29"/>
      <c r="G30" s="29" t="str">
        <f aca="false">IF($F30&lt;&gt;"",$F30,$J30)</f>
        <v>FAM-047</v>
      </c>
      <c r="H30" s="29" t="str">
        <f aca="false">IF($G30&lt;&gt;"","yes","")</f>
        <v>yes</v>
      </c>
      <c r="I30" s="30" t="s">
        <v>541</v>
      </c>
      <c r="J30" s="30" t="s">
        <v>279</v>
      </c>
      <c r="K30" s="30"/>
      <c r="L30" s="30" t="s">
        <v>634</v>
      </c>
      <c r="M30" s="30" t="s">
        <v>543</v>
      </c>
      <c r="N30" s="28" t="s">
        <v>635</v>
      </c>
    </row>
    <row r="31" customFormat="false" ht="15" hidden="false" customHeight="false" outlineLevel="0" collapsed="false">
      <c r="A31" s="26" t="n">
        <v>46070</v>
      </c>
      <c r="B31" s="27" t="n">
        <v>204.75</v>
      </c>
      <c r="C31" s="28" t="s">
        <v>636</v>
      </c>
      <c r="D31" s="28" t="s">
        <v>637</v>
      </c>
      <c r="E31" s="28" t="s">
        <v>106</v>
      </c>
      <c r="F31" s="29"/>
      <c r="G31" s="29" t="str">
        <f aca="false">IF($F31&lt;&gt;"",$F31,$J31)</f>
        <v>FAM-052</v>
      </c>
      <c r="H31" s="29" t="str">
        <f aca="false">IF($G31&lt;&gt;"","yes","")</f>
        <v>yes</v>
      </c>
      <c r="I31" s="30" t="s">
        <v>541</v>
      </c>
      <c r="J31" s="30" t="s">
        <v>296</v>
      </c>
      <c r="K31" s="30"/>
      <c r="L31" s="30" t="s">
        <v>638</v>
      </c>
      <c r="M31" s="30" t="s">
        <v>610</v>
      </c>
      <c r="N31" s="28" t="s">
        <v>639</v>
      </c>
    </row>
    <row r="32" customFormat="false" ht="15" hidden="false" customHeight="false" outlineLevel="0" collapsed="false">
      <c r="A32" s="36" t="n">
        <v>46071</v>
      </c>
      <c r="B32" s="37" t="n">
        <v>799.5</v>
      </c>
      <c r="C32" s="38" t="s">
        <v>640</v>
      </c>
      <c r="D32" s="38" t="s">
        <v>641</v>
      </c>
      <c r="E32" s="38" t="s">
        <v>106</v>
      </c>
      <c r="F32" s="39"/>
      <c r="G32" s="39" t="n">
        <f aca="false">IF($F32&lt;&gt;"",$F32,$J32)</f>
        <v>0</v>
      </c>
      <c r="H32" s="39" t="str">
        <f aca="false">IF($G32&lt;&gt;"","yes","")</f>
        <v/>
      </c>
      <c r="I32" s="40" t="s">
        <v>628</v>
      </c>
      <c r="J32" s="40"/>
      <c r="K32" s="40" t="s">
        <v>642</v>
      </c>
      <c r="L32" s="40" t="s">
        <v>643</v>
      </c>
      <c r="M32" s="40" t="s">
        <v>571</v>
      </c>
      <c r="N32" s="38" t="s">
        <v>644</v>
      </c>
    </row>
    <row r="33" customFormat="false" ht="15" hidden="false" customHeight="false" outlineLevel="0" collapsed="false">
      <c r="A33" s="26" t="n">
        <v>46073</v>
      </c>
      <c r="B33" s="27" t="n">
        <v>1299.12</v>
      </c>
      <c r="C33" s="28" t="s">
        <v>223</v>
      </c>
      <c r="D33" s="28" t="s">
        <v>645</v>
      </c>
      <c r="E33" s="28" t="s">
        <v>106</v>
      </c>
      <c r="F33" s="29"/>
      <c r="G33" s="29" t="str">
        <f aca="false">IF($F33&lt;&gt;"",$F33,$J33)</f>
        <v>FAM-030</v>
      </c>
      <c r="H33" s="29" t="str">
        <f aca="false">IF($G33&lt;&gt;"","yes","")</f>
        <v>yes</v>
      </c>
      <c r="I33" s="30" t="s">
        <v>546</v>
      </c>
      <c r="J33" s="30" t="s">
        <v>220</v>
      </c>
      <c r="K33" s="30"/>
      <c r="L33" s="30" t="s">
        <v>646</v>
      </c>
      <c r="M33" s="30" t="s">
        <v>618</v>
      </c>
      <c r="N33" s="28" t="s">
        <v>647</v>
      </c>
    </row>
    <row r="34" customFormat="false" ht="15" hidden="false" customHeight="false" outlineLevel="0" collapsed="false">
      <c r="A34" s="26" t="n">
        <v>46075</v>
      </c>
      <c r="B34" s="27" t="n">
        <v>1041</v>
      </c>
      <c r="C34" s="28" t="s">
        <v>648</v>
      </c>
      <c r="D34" s="28" t="s">
        <v>649</v>
      </c>
      <c r="E34" s="28" t="s">
        <v>106</v>
      </c>
      <c r="F34" s="29"/>
      <c r="G34" s="29" t="str">
        <f aca="false">IF($F34&lt;&gt;"",$F34,$J34)</f>
        <v>FAM-028</v>
      </c>
      <c r="H34" s="29" t="str">
        <f aca="false">IF($G34&lt;&gt;"","yes","")</f>
        <v>yes</v>
      </c>
      <c r="I34" s="30" t="s">
        <v>541</v>
      </c>
      <c r="J34" s="30" t="s">
        <v>214</v>
      </c>
      <c r="K34" s="30"/>
      <c r="L34" s="30" t="s">
        <v>650</v>
      </c>
      <c r="M34" s="30" t="s">
        <v>543</v>
      </c>
      <c r="N34" s="28" t="s">
        <v>651</v>
      </c>
    </row>
    <row r="35" customFormat="false" ht="15" hidden="false" customHeight="false" outlineLevel="0" collapsed="false">
      <c r="A35" s="26" t="n">
        <v>46075</v>
      </c>
      <c r="B35" s="27" t="n">
        <v>217.25</v>
      </c>
      <c r="C35" s="28" t="s">
        <v>210</v>
      </c>
      <c r="D35" s="28" t="s">
        <v>209</v>
      </c>
      <c r="E35" s="28" t="s">
        <v>106</v>
      </c>
      <c r="F35" s="29"/>
      <c r="G35" s="29" t="str">
        <f aca="false">IF($F35&lt;&gt;"",$F35,$J35)</f>
        <v>FAM-026</v>
      </c>
      <c r="H35" s="29" t="str">
        <f aca="false">IF($G35&lt;&gt;"","yes","")</f>
        <v>yes</v>
      </c>
      <c r="I35" s="30" t="s">
        <v>546</v>
      </c>
      <c r="J35" s="30" t="s">
        <v>207</v>
      </c>
      <c r="K35" s="30"/>
      <c r="L35" s="30" t="s">
        <v>652</v>
      </c>
      <c r="M35" s="30" t="s">
        <v>556</v>
      </c>
      <c r="N35" s="28" t="s">
        <v>653</v>
      </c>
    </row>
    <row r="36" customFormat="false" ht="15" hidden="false" customHeight="false" outlineLevel="0" collapsed="false">
      <c r="A36" s="31" t="n">
        <v>46077</v>
      </c>
      <c r="B36" s="32" t="n">
        <v>434.5</v>
      </c>
      <c r="C36" s="33" t="s">
        <v>654</v>
      </c>
      <c r="D36" s="33" t="s">
        <v>232</v>
      </c>
      <c r="E36" s="33" t="s">
        <v>106</v>
      </c>
      <c r="F36" s="34"/>
      <c r="G36" s="34" t="n">
        <f aca="false">IF($F36&lt;&gt;"",$F36,$J36)</f>
        <v>0</v>
      </c>
      <c r="H36" s="34" t="str">
        <f aca="false">IF($G36&lt;&gt;"","yes","")</f>
        <v/>
      </c>
      <c r="I36" s="35" t="s">
        <v>550</v>
      </c>
      <c r="J36" s="35"/>
      <c r="K36" s="35" t="s">
        <v>655</v>
      </c>
      <c r="L36" s="35" t="s">
        <v>656</v>
      </c>
      <c r="M36" s="35" t="s">
        <v>571</v>
      </c>
      <c r="N36" s="33" t="s">
        <v>657</v>
      </c>
    </row>
    <row r="37" customFormat="false" ht="15" hidden="false" customHeight="false" outlineLevel="0" collapsed="false">
      <c r="A37" s="26" t="n">
        <v>46077</v>
      </c>
      <c r="B37" s="27" t="n">
        <v>434.5</v>
      </c>
      <c r="C37" s="28" t="s">
        <v>658</v>
      </c>
      <c r="D37" s="28" t="s">
        <v>659</v>
      </c>
      <c r="E37" s="28" t="s">
        <v>106</v>
      </c>
      <c r="F37" s="29"/>
      <c r="G37" s="29" t="str">
        <f aca="false">IF($F37&lt;&gt;"",$F37,$J37)</f>
        <v>FAM-058</v>
      </c>
      <c r="H37" s="29" t="str">
        <f aca="false">IF($G37&lt;&gt;"","yes","")</f>
        <v>yes</v>
      </c>
      <c r="I37" s="30" t="s">
        <v>541</v>
      </c>
      <c r="J37" s="30" t="s">
        <v>316</v>
      </c>
      <c r="K37" s="30"/>
      <c r="L37" s="30" t="s">
        <v>660</v>
      </c>
      <c r="M37" s="30" t="s">
        <v>543</v>
      </c>
      <c r="N37" s="28" t="s">
        <v>661</v>
      </c>
    </row>
    <row r="38" customFormat="false" ht="15" hidden="false" customHeight="false" outlineLevel="0" collapsed="false">
      <c r="A38" s="26" t="n">
        <v>46078</v>
      </c>
      <c r="B38" s="27" t="n">
        <v>520.5</v>
      </c>
      <c r="C38" s="28" t="s">
        <v>245</v>
      </c>
      <c r="D38" s="28" t="s">
        <v>244</v>
      </c>
      <c r="E38" s="28" t="s">
        <v>106</v>
      </c>
      <c r="F38" s="29"/>
      <c r="G38" s="29" t="str">
        <f aca="false">IF($F38&lt;&gt;"",$F38,$J38)</f>
        <v>FAM-036</v>
      </c>
      <c r="H38" s="29" t="str">
        <f aca="false">IF($G38&lt;&gt;"","yes","")</f>
        <v>yes</v>
      </c>
      <c r="I38" s="30" t="s">
        <v>546</v>
      </c>
      <c r="J38" s="30" t="s">
        <v>242</v>
      </c>
      <c r="K38" s="30"/>
      <c r="L38" s="30" t="s">
        <v>662</v>
      </c>
      <c r="M38" s="30" t="s">
        <v>556</v>
      </c>
      <c r="N38" s="28" t="s">
        <v>663</v>
      </c>
    </row>
    <row r="39" customFormat="false" ht="15" hidden="false" customHeight="false" outlineLevel="0" collapsed="false">
      <c r="A39" s="26" t="n">
        <v>46080</v>
      </c>
      <c r="B39" s="27" t="n">
        <v>204.75</v>
      </c>
      <c r="C39" s="28" t="s">
        <v>664</v>
      </c>
      <c r="D39" s="28" t="s">
        <v>665</v>
      </c>
      <c r="E39" s="28" t="s">
        <v>101</v>
      </c>
      <c r="F39" s="29"/>
      <c r="G39" s="29" t="str">
        <f aca="false">IF($F39&lt;&gt;"",$F39,$J39)</f>
        <v>FAM-061</v>
      </c>
      <c r="H39" s="29" t="str">
        <f aca="false">IF($G39&lt;&gt;"","yes","")</f>
        <v>yes</v>
      </c>
      <c r="I39" s="30" t="s">
        <v>541</v>
      </c>
      <c r="J39" s="30" t="s">
        <v>326</v>
      </c>
      <c r="K39" s="30"/>
      <c r="L39" s="30" t="s">
        <v>666</v>
      </c>
      <c r="M39" s="30" t="s">
        <v>571</v>
      </c>
      <c r="N39" s="28" t="s">
        <v>667</v>
      </c>
    </row>
    <row r="40" customFormat="false" ht="15" hidden="false" customHeight="false" outlineLevel="0" collapsed="false">
      <c r="A40" s="26" t="n">
        <v>46083</v>
      </c>
      <c r="B40" s="27" t="n">
        <v>374.75</v>
      </c>
      <c r="C40" s="28" t="s">
        <v>295</v>
      </c>
      <c r="D40" s="28" t="s">
        <v>607</v>
      </c>
      <c r="E40" s="28" t="s">
        <v>106</v>
      </c>
      <c r="F40" s="29"/>
      <c r="G40" s="29" t="str">
        <f aca="false">IF($F40&lt;&gt;"",$F40,$J40)</f>
        <v>FAM-051</v>
      </c>
      <c r="H40" s="29" t="str">
        <f aca="false">IF($G40&lt;&gt;"","yes","")</f>
        <v>yes</v>
      </c>
      <c r="I40" s="30" t="s">
        <v>546</v>
      </c>
      <c r="J40" s="30" t="s">
        <v>292</v>
      </c>
      <c r="K40" s="30"/>
      <c r="L40" s="30" t="s">
        <v>603</v>
      </c>
      <c r="M40" s="30" t="s">
        <v>556</v>
      </c>
      <c r="N40" s="28" t="s">
        <v>668</v>
      </c>
    </row>
    <row r="41" customFormat="false" ht="15" hidden="false" customHeight="false" outlineLevel="0" collapsed="false">
      <c r="A41" s="26" t="n">
        <v>46085</v>
      </c>
      <c r="B41" s="27" t="n">
        <v>217.25</v>
      </c>
      <c r="C41" s="28" t="s">
        <v>561</v>
      </c>
      <c r="D41" s="28" t="s">
        <v>669</v>
      </c>
      <c r="E41" s="28" t="s">
        <v>106</v>
      </c>
      <c r="F41" s="29"/>
      <c r="G41" s="29" t="str">
        <f aca="false">IF($F41&lt;&gt;"",$F41,$J41)</f>
        <v>FAM-027</v>
      </c>
      <c r="H41" s="29" t="str">
        <f aca="false">IF($G41&lt;&gt;"","yes","")</f>
        <v>yes</v>
      </c>
      <c r="I41" s="30" t="s">
        <v>541</v>
      </c>
      <c r="J41" s="30" t="s">
        <v>211</v>
      </c>
      <c r="K41" s="30"/>
      <c r="L41" s="30" t="s">
        <v>670</v>
      </c>
      <c r="M41" s="30" t="s">
        <v>556</v>
      </c>
      <c r="N41" s="28" t="s">
        <v>671</v>
      </c>
    </row>
    <row r="42" customFormat="false" ht="15" hidden="false" customHeight="false" outlineLevel="0" collapsed="false">
      <c r="A42" s="26" t="n">
        <v>46086</v>
      </c>
      <c r="B42" s="27" t="n">
        <v>434.5</v>
      </c>
      <c r="C42" s="28" t="s">
        <v>260</v>
      </c>
      <c r="D42" s="28" t="s">
        <v>259</v>
      </c>
      <c r="E42" s="28" t="s">
        <v>106</v>
      </c>
      <c r="F42" s="29"/>
      <c r="G42" s="29" t="str">
        <f aca="false">IF($F42&lt;&gt;"",$F42,$J42)</f>
        <v>FAM-040</v>
      </c>
      <c r="H42" s="29" t="str">
        <f aca="false">IF($G42&lt;&gt;"","yes","")</f>
        <v>yes</v>
      </c>
      <c r="I42" s="30" t="s">
        <v>546</v>
      </c>
      <c r="J42" s="30" t="s">
        <v>257</v>
      </c>
      <c r="K42" s="30"/>
      <c r="L42" s="30" t="s">
        <v>672</v>
      </c>
      <c r="M42" s="30" t="s">
        <v>543</v>
      </c>
      <c r="N42" s="28" t="s">
        <v>673</v>
      </c>
    </row>
    <row r="43" customFormat="false" ht="15" hidden="false" customHeight="false" outlineLevel="0" collapsed="false">
      <c r="A43" s="26" t="n">
        <v>46087</v>
      </c>
      <c r="B43" s="27" t="n">
        <v>799.5</v>
      </c>
      <c r="C43" s="28" t="s">
        <v>674</v>
      </c>
      <c r="D43" s="28" t="s">
        <v>675</v>
      </c>
      <c r="E43" s="28" t="s">
        <v>106</v>
      </c>
      <c r="F43" s="29"/>
      <c r="G43" s="29" t="str">
        <f aca="false">IF($F43&lt;&gt;"",$F43,$J43)</f>
        <v>FAM-038</v>
      </c>
      <c r="H43" s="29" t="str">
        <f aca="false">IF($G43&lt;&gt;"","yes","")</f>
        <v>yes</v>
      </c>
      <c r="I43" s="30" t="s">
        <v>541</v>
      </c>
      <c r="J43" s="30" t="s">
        <v>250</v>
      </c>
      <c r="K43" s="30"/>
      <c r="L43" s="30" t="s">
        <v>676</v>
      </c>
      <c r="M43" s="30" t="s">
        <v>543</v>
      </c>
      <c r="N43" s="28" t="s">
        <v>677</v>
      </c>
    </row>
    <row r="44" customFormat="false" ht="15" hidden="false" customHeight="false" outlineLevel="0" collapsed="false">
      <c r="A44" s="26" t="n">
        <v>46090</v>
      </c>
      <c r="B44" s="27" t="n">
        <v>774.5</v>
      </c>
      <c r="C44" s="28" t="s">
        <v>172</v>
      </c>
      <c r="D44" s="28" t="s">
        <v>171</v>
      </c>
      <c r="E44" s="28" t="s">
        <v>106</v>
      </c>
      <c r="F44" s="29"/>
      <c r="G44" s="29" t="str">
        <f aca="false">IF($F44&lt;&gt;"",$F44,$J44)</f>
        <v>FAM-015</v>
      </c>
      <c r="H44" s="29" t="str">
        <f aca="false">IF($G44&lt;&gt;"","yes","")</f>
        <v>yes</v>
      </c>
      <c r="I44" s="30" t="s">
        <v>546</v>
      </c>
      <c r="J44" s="30" t="s">
        <v>169</v>
      </c>
      <c r="K44" s="30"/>
      <c r="L44" s="30" t="s">
        <v>678</v>
      </c>
      <c r="M44" s="30" t="s">
        <v>543</v>
      </c>
      <c r="N44" s="28" t="s">
        <v>679</v>
      </c>
    </row>
    <row r="45" customFormat="false" ht="15" hidden="false" customHeight="false" outlineLevel="0" collapsed="false">
      <c r="A45" s="36" t="n">
        <v>46092</v>
      </c>
      <c r="B45" s="37" t="n">
        <v>-409.5</v>
      </c>
      <c r="C45" s="38" t="s">
        <v>680</v>
      </c>
      <c r="D45" s="38" t="s">
        <v>681</v>
      </c>
      <c r="E45" s="38" t="s">
        <v>106</v>
      </c>
      <c r="F45" s="39"/>
      <c r="G45" s="39" t="n">
        <f aca="false">IF($F45&lt;&gt;"",$F45,$J45)</f>
        <v>0</v>
      </c>
      <c r="H45" s="39" t="str">
        <f aca="false">IF($G45&lt;&gt;"","yes","")</f>
        <v/>
      </c>
      <c r="I45" s="40" t="s">
        <v>628</v>
      </c>
      <c r="J45" s="40"/>
      <c r="K45" s="40"/>
      <c r="L45" s="40" t="s">
        <v>682</v>
      </c>
      <c r="M45" s="40" t="s">
        <v>683</v>
      </c>
      <c r="N45" s="38" t="s">
        <v>684</v>
      </c>
    </row>
    <row r="46" customFormat="false" ht="15" hidden="false" customHeight="false" outlineLevel="0" collapsed="false">
      <c r="A46" s="26" t="n">
        <v>46094</v>
      </c>
      <c r="B46" s="27" t="n">
        <v>204.75</v>
      </c>
      <c r="C46" s="28" t="s">
        <v>636</v>
      </c>
      <c r="D46" s="28" t="s">
        <v>685</v>
      </c>
      <c r="E46" s="28" t="s">
        <v>106</v>
      </c>
      <c r="F46" s="29"/>
      <c r="G46" s="29" t="str">
        <f aca="false">IF($F46&lt;&gt;"",$F46,$J46)</f>
        <v>FAM-052</v>
      </c>
      <c r="H46" s="29" t="str">
        <f aca="false">IF($G46&lt;&gt;"","yes","")</f>
        <v>yes</v>
      </c>
      <c r="I46" s="30" t="s">
        <v>541</v>
      </c>
      <c r="J46" s="30" t="s">
        <v>296</v>
      </c>
      <c r="K46" s="30"/>
      <c r="L46" s="30" t="s">
        <v>638</v>
      </c>
      <c r="M46" s="30" t="s">
        <v>610</v>
      </c>
      <c r="N46" s="28" t="s">
        <v>686</v>
      </c>
    </row>
    <row r="47" customFormat="false" ht="15" hidden="false" customHeight="false" outlineLevel="0" collapsed="false">
      <c r="A47" s="26" t="n">
        <v>46101</v>
      </c>
      <c r="B47" s="27" t="n">
        <v>204.75</v>
      </c>
      <c r="C47" s="28" t="s">
        <v>664</v>
      </c>
      <c r="D47" s="28" t="s">
        <v>607</v>
      </c>
      <c r="E47" s="28" t="s">
        <v>106</v>
      </c>
      <c r="F47" s="29"/>
      <c r="G47" s="29" t="str">
        <f aca="false">IF($F47&lt;&gt;"",$F47,$J47)</f>
        <v>FAM-061</v>
      </c>
      <c r="H47" s="29" t="str">
        <f aca="false">IF($G47&lt;&gt;"","yes","")</f>
        <v>yes</v>
      </c>
      <c r="I47" s="30" t="s">
        <v>541</v>
      </c>
      <c r="J47" s="30" t="s">
        <v>326</v>
      </c>
      <c r="K47" s="30"/>
      <c r="L47" s="30" t="s">
        <v>687</v>
      </c>
      <c r="M47" s="30" t="s">
        <v>610</v>
      </c>
      <c r="N47" s="28" t="s">
        <v>688</v>
      </c>
    </row>
    <row r="48" customFormat="false" ht="15" hidden="false" customHeight="false" outlineLevel="0" collapsed="false">
      <c r="A48" s="26" t="n">
        <v>46101</v>
      </c>
      <c r="B48" s="27" t="n">
        <v>217.25</v>
      </c>
      <c r="C48" s="28" t="s">
        <v>184</v>
      </c>
      <c r="D48" s="28" t="s">
        <v>689</v>
      </c>
      <c r="E48" s="28" t="s">
        <v>106</v>
      </c>
      <c r="F48" s="29"/>
      <c r="G48" s="29" t="str">
        <f aca="false">IF($F48&lt;&gt;"",$F48,$J48)</f>
        <v>FAM-019</v>
      </c>
      <c r="H48" s="29" t="str">
        <f aca="false">IF($G48&lt;&gt;"","yes","")</f>
        <v>yes</v>
      </c>
      <c r="I48" s="30" t="s">
        <v>546</v>
      </c>
      <c r="J48" s="30" t="s">
        <v>181</v>
      </c>
      <c r="K48" s="30"/>
      <c r="L48" s="30" t="s">
        <v>603</v>
      </c>
      <c r="M48" s="30" t="s">
        <v>556</v>
      </c>
      <c r="N48" s="28" t="s">
        <v>690</v>
      </c>
    </row>
    <row r="49" customFormat="false" ht="15" hidden="false" customHeight="false" outlineLevel="0" collapsed="false">
      <c r="A49" s="36" t="n">
        <v>46103</v>
      </c>
      <c r="B49" s="37" t="n">
        <v>434.5</v>
      </c>
      <c r="C49" s="38" t="s">
        <v>691</v>
      </c>
      <c r="D49" s="38" t="s">
        <v>692</v>
      </c>
      <c r="E49" s="38" t="s">
        <v>106</v>
      </c>
      <c r="F49" s="39"/>
      <c r="G49" s="39" t="n">
        <f aca="false">IF($F49&lt;&gt;"",$F49,$J49)</f>
        <v>0</v>
      </c>
      <c r="H49" s="39" t="str">
        <f aca="false">IF($G49&lt;&gt;"","yes","")</f>
        <v/>
      </c>
      <c r="I49" s="40" t="s">
        <v>628</v>
      </c>
      <c r="J49" s="40"/>
      <c r="K49" s="40" t="s">
        <v>693</v>
      </c>
      <c r="L49" s="40" t="s">
        <v>694</v>
      </c>
      <c r="M49" s="40" t="s">
        <v>571</v>
      </c>
      <c r="N49" s="38" t="s">
        <v>695</v>
      </c>
    </row>
    <row r="50" customFormat="false" ht="15" hidden="false" customHeight="false" outlineLevel="0" collapsed="false">
      <c r="A50" s="26" t="n">
        <v>46103</v>
      </c>
      <c r="B50" s="27" t="n">
        <v>409.5</v>
      </c>
      <c r="C50" s="28" t="s">
        <v>122</v>
      </c>
      <c r="D50" s="28" t="s">
        <v>121</v>
      </c>
      <c r="E50" s="28" t="s">
        <v>106</v>
      </c>
      <c r="F50" s="29"/>
      <c r="G50" s="29" t="str">
        <f aca="false">IF($F50&lt;&gt;"",$F50,$J50)</f>
        <v>FAM-001</v>
      </c>
      <c r="H50" s="29" t="str">
        <f aca="false">IF($G50&lt;&gt;"","yes","")</f>
        <v>yes</v>
      </c>
      <c r="I50" s="30" t="s">
        <v>546</v>
      </c>
      <c r="J50" s="30" t="s">
        <v>119</v>
      </c>
      <c r="K50" s="30"/>
      <c r="L50" s="30" t="s">
        <v>696</v>
      </c>
      <c r="M50" s="30" t="s">
        <v>543</v>
      </c>
      <c r="N50" s="28" t="s">
        <v>697</v>
      </c>
    </row>
    <row r="51" customFormat="false" ht="15" hidden="false" customHeight="false" outlineLevel="0" collapsed="false">
      <c r="A51" s="26" t="n">
        <v>46104</v>
      </c>
      <c r="B51" s="27" t="n">
        <v>217.25</v>
      </c>
      <c r="C51" s="28" t="s">
        <v>237</v>
      </c>
      <c r="D51" s="28" t="s">
        <v>698</v>
      </c>
      <c r="E51" s="28" t="s">
        <v>106</v>
      </c>
      <c r="F51" s="29"/>
      <c r="G51" s="29" t="str">
        <f aca="false">IF($F51&lt;&gt;"",$F51,$J51)</f>
        <v>FAM-034</v>
      </c>
      <c r="H51" s="29" t="str">
        <f aca="false">IF($G51&lt;&gt;"","yes","")</f>
        <v>yes</v>
      </c>
      <c r="I51" s="30" t="s">
        <v>546</v>
      </c>
      <c r="J51" s="30" t="s">
        <v>234</v>
      </c>
      <c r="K51" s="30"/>
      <c r="L51" s="30" t="s">
        <v>699</v>
      </c>
      <c r="M51" s="30" t="s">
        <v>556</v>
      </c>
      <c r="N51" s="28" t="s">
        <v>700</v>
      </c>
    </row>
    <row r="52" customFormat="false" ht="15" hidden="false" customHeight="false" outlineLevel="0" collapsed="false">
      <c r="A52" s="26" t="n">
        <v>46111</v>
      </c>
      <c r="B52" s="27" t="n">
        <v>374.75</v>
      </c>
      <c r="C52" s="28" t="s">
        <v>162</v>
      </c>
      <c r="D52" s="28" t="s">
        <v>701</v>
      </c>
      <c r="E52" s="28" t="s">
        <v>106</v>
      </c>
      <c r="F52" s="29"/>
      <c r="G52" s="29" t="str">
        <f aca="false">IF($F52&lt;&gt;"",$F52,$J52)</f>
        <v>FAM-012</v>
      </c>
      <c r="H52" s="29" t="str">
        <f aca="false">IF($G52&lt;&gt;"","yes","")</f>
        <v>yes</v>
      </c>
      <c r="I52" s="30" t="s">
        <v>546</v>
      </c>
      <c r="J52" s="30" t="s">
        <v>159</v>
      </c>
      <c r="K52" s="30"/>
      <c r="L52" s="30" t="s">
        <v>603</v>
      </c>
      <c r="M52" s="30" t="s">
        <v>556</v>
      </c>
      <c r="N52" s="28" t="s">
        <v>702</v>
      </c>
    </row>
    <row r="53" customFormat="false" ht="15" hidden="false" customHeight="false" outlineLevel="0" collapsed="false">
      <c r="A53" s="26" t="n">
        <v>46112</v>
      </c>
      <c r="B53" s="27" t="n">
        <v>434.5</v>
      </c>
      <c r="C53" s="28" t="s">
        <v>233</v>
      </c>
      <c r="D53" s="28" t="s">
        <v>232</v>
      </c>
      <c r="E53" s="28" t="s">
        <v>106</v>
      </c>
      <c r="F53" s="29"/>
      <c r="G53" s="29" t="str">
        <f aca="false">IF($F53&lt;&gt;"",$F53,$J53)</f>
        <v>FAM-033</v>
      </c>
      <c r="H53" s="29" t="str">
        <f aca="false">IF($G53&lt;&gt;"","yes","")</f>
        <v>yes</v>
      </c>
      <c r="I53" s="30" t="s">
        <v>546</v>
      </c>
      <c r="J53" s="30" t="s">
        <v>230</v>
      </c>
      <c r="K53" s="30"/>
      <c r="L53" s="30" t="s">
        <v>703</v>
      </c>
      <c r="M53" s="30" t="s">
        <v>543</v>
      </c>
      <c r="N53" s="28" t="s">
        <v>704</v>
      </c>
    </row>
    <row r="54" customFormat="false" ht="15" hidden="false" customHeight="false" outlineLevel="0" collapsed="false">
      <c r="A54" s="26" t="n">
        <v>46114</v>
      </c>
      <c r="B54" s="27" t="n">
        <v>434.5</v>
      </c>
      <c r="C54" s="28" t="s">
        <v>315</v>
      </c>
      <c r="D54" s="28" t="s">
        <v>314</v>
      </c>
      <c r="E54" s="28" t="s">
        <v>106</v>
      </c>
      <c r="F54" s="29"/>
      <c r="G54" s="29" t="str">
        <f aca="false">IF($F54&lt;&gt;"",$F54,$J54)</f>
        <v>FAM-057</v>
      </c>
      <c r="H54" s="29" t="str">
        <f aca="false">IF($G54&lt;&gt;"","yes","")</f>
        <v>yes</v>
      </c>
      <c r="I54" s="30" t="s">
        <v>546</v>
      </c>
      <c r="J54" s="30" t="s">
        <v>312</v>
      </c>
      <c r="K54" s="30"/>
      <c r="L54" s="30" t="s">
        <v>705</v>
      </c>
      <c r="M54" s="30" t="s">
        <v>543</v>
      </c>
      <c r="N54" s="28" t="s">
        <v>706</v>
      </c>
    </row>
    <row r="55" customFormat="false" ht="15" hidden="false" customHeight="false" outlineLevel="0" collapsed="false">
      <c r="A55" s="26" t="n">
        <v>46115</v>
      </c>
      <c r="B55" s="27" t="n">
        <v>409.5</v>
      </c>
      <c r="C55" s="28" t="s">
        <v>707</v>
      </c>
      <c r="D55" s="28" t="s">
        <v>708</v>
      </c>
      <c r="E55" s="28" t="s">
        <v>106</v>
      </c>
      <c r="F55" s="29"/>
      <c r="G55" s="29" t="str">
        <f aca="false">IF($F55&lt;&gt;"",$F55,$J55)</f>
        <v>FAM-029</v>
      </c>
      <c r="H55" s="29" t="str">
        <f aca="false">IF($G55&lt;&gt;"","yes","")</f>
        <v>yes</v>
      </c>
      <c r="I55" s="30" t="s">
        <v>541</v>
      </c>
      <c r="J55" s="30" t="s">
        <v>217</v>
      </c>
      <c r="K55" s="30"/>
      <c r="L55" s="30" t="s">
        <v>709</v>
      </c>
      <c r="M55" s="30" t="s">
        <v>543</v>
      </c>
      <c r="N55" s="28" t="s">
        <v>710</v>
      </c>
    </row>
    <row r="56" customFormat="false" ht="15" hidden="false" customHeight="false" outlineLevel="0" collapsed="false">
      <c r="A56" s="26" t="n">
        <v>46116</v>
      </c>
      <c r="B56" s="27" t="n">
        <v>387.25</v>
      </c>
      <c r="C56" s="28" t="s">
        <v>249</v>
      </c>
      <c r="D56" s="28" t="s">
        <v>711</v>
      </c>
      <c r="E56" s="28" t="s">
        <v>106</v>
      </c>
      <c r="F56" s="29"/>
      <c r="G56" s="29" t="str">
        <f aca="false">IF($F56&lt;&gt;"",$F56,$J56)</f>
        <v>FAM-037</v>
      </c>
      <c r="H56" s="29" t="str">
        <f aca="false">IF($G56&lt;&gt;"","yes","")</f>
        <v>yes</v>
      </c>
      <c r="I56" s="30" t="s">
        <v>546</v>
      </c>
      <c r="J56" s="30" t="s">
        <v>246</v>
      </c>
      <c r="K56" s="30"/>
      <c r="L56" s="30" t="s">
        <v>712</v>
      </c>
      <c r="M56" s="30" t="s">
        <v>556</v>
      </c>
      <c r="N56" s="28" t="s">
        <v>713</v>
      </c>
    </row>
    <row r="57" customFormat="false" ht="15" hidden="false" customHeight="false" outlineLevel="0" collapsed="false">
      <c r="A57" s="26" t="n">
        <v>46116</v>
      </c>
      <c r="B57" s="27" t="n">
        <v>749.5</v>
      </c>
      <c r="C57" s="28" t="s">
        <v>136</v>
      </c>
      <c r="D57" s="28" t="s">
        <v>135</v>
      </c>
      <c r="E57" s="28" t="s">
        <v>106</v>
      </c>
      <c r="F57" s="29"/>
      <c r="G57" s="29" t="str">
        <f aca="false">IF($F57&lt;&gt;"",$F57,$J57)</f>
        <v>FAM-005</v>
      </c>
      <c r="H57" s="29" t="str">
        <f aca="false">IF($G57&lt;&gt;"","yes","")</f>
        <v>yes</v>
      </c>
      <c r="I57" s="30" t="s">
        <v>546</v>
      </c>
      <c r="J57" s="30" t="s">
        <v>133</v>
      </c>
      <c r="K57" s="30"/>
      <c r="L57" s="30" t="s">
        <v>714</v>
      </c>
      <c r="M57" s="30" t="s">
        <v>543</v>
      </c>
      <c r="N57" s="28" t="s">
        <v>715</v>
      </c>
    </row>
    <row r="58" customFormat="false" ht="15" hidden="false" customHeight="false" outlineLevel="0" collapsed="false">
      <c r="A58" s="26" t="n">
        <v>46118</v>
      </c>
      <c r="B58" s="27" t="n">
        <v>774.5</v>
      </c>
      <c r="C58" s="28" t="s">
        <v>291</v>
      </c>
      <c r="D58" s="28" t="s">
        <v>290</v>
      </c>
      <c r="E58" s="28" t="s">
        <v>106</v>
      </c>
      <c r="F58" s="29"/>
      <c r="G58" s="29" t="str">
        <f aca="false">IF($F58&lt;&gt;"",$F58,$J58)</f>
        <v>FAM-050</v>
      </c>
      <c r="H58" s="29" t="str">
        <f aca="false">IF($G58&lt;&gt;"","yes","")</f>
        <v>yes</v>
      </c>
      <c r="I58" s="30" t="s">
        <v>546</v>
      </c>
      <c r="J58" s="30" t="s">
        <v>288</v>
      </c>
      <c r="K58" s="30"/>
      <c r="L58" s="30" t="s">
        <v>716</v>
      </c>
      <c r="M58" s="30" t="s">
        <v>543</v>
      </c>
      <c r="N58" s="28" t="s">
        <v>717</v>
      </c>
    </row>
    <row r="59" customFormat="false" ht="15" hidden="false" customHeight="false" outlineLevel="0" collapsed="false">
      <c r="A59" s="26" t="n">
        <v>46118</v>
      </c>
      <c r="B59" s="27" t="n">
        <v>217.25</v>
      </c>
      <c r="C59" s="28" t="s">
        <v>210</v>
      </c>
      <c r="D59" s="28" t="s">
        <v>718</v>
      </c>
      <c r="E59" s="28" t="s">
        <v>106</v>
      </c>
      <c r="F59" s="29"/>
      <c r="G59" s="29" t="str">
        <f aca="false">IF($F59&lt;&gt;"",$F59,$J59)</f>
        <v>FAM-026</v>
      </c>
      <c r="H59" s="29" t="str">
        <f aca="false">IF($G59&lt;&gt;"","yes","")</f>
        <v>yes</v>
      </c>
      <c r="I59" s="30" t="s">
        <v>546</v>
      </c>
      <c r="J59" s="30" t="s">
        <v>207</v>
      </c>
      <c r="K59" s="30"/>
      <c r="L59" s="30" t="s">
        <v>603</v>
      </c>
      <c r="M59" s="30" t="s">
        <v>556</v>
      </c>
      <c r="N59" s="28" t="s">
        <v>719</v>
      </c>
    </row>
    <row r="60" customFormat="false" ht="15" hidden="false" customHeight="false" outlineLevel="0" collapsed="false">
      <c r="A60" s="26" t="n">
        <v>46121</v>
      </c>
      <c r="B60" s="27" t="n">
        <v>434.5</v>
      </c>
      <c r="C60" s="28" t="s">
        <v>720</v>
      </c>
      <c r="D60" s="28" t="s">
        <v>721</v>
      </c>
      <c r="E60" s="28" t="s">
        <v>106</v>
      </c>
      <c r="F60" s="29"/>
      <c r="G60" s="29" t="str">
        <f aca="false">IF($F60&lt;&gt;"",$F60,$J60)</f>
        <v>FAM-049</v>
      </c>
      <c r="H60" s="29" t="str">
        <f aca="false">IF($G60&lt;&gt;"","yes","")</f>
        <v>yes</v>
      </c>
      <c r="I60" s="30" t="s">
        <v>541</v>
      </c>
      <c r="J60" s="30" t="s">
        <v>285</v>
      </c>
      <c r="K60" s="30"/>
      <c r="L60" s="30" t="s">
        <v>722</v>
      </c>
      <c r="M60" s="30" t="s">
        <v>543</v>
      </c>
      <c r="N60" s="28" t="s">
        <v>723</v>
      </c>
    </row>
    <row r="61" customFormat="false" ht="15" hidden="false" customHeight="false" outlineLevel="0" collapsed="false">
      <c r="A61" s="26" t="n">
        <v>46121</v>
      </c>
      <c r="B61" s="27" t="n">
        <v>217.25</v>
      </c>
      <c r="C61" s="28" t="s">
        <v>237</v>
      </c>
      <c r="D61" s="28" t="s">
        <v>607</v>
      </c>
      <c r="E61" s="28" t="s">
        <v>106</v>
      </c>
      <c r="F61" s="29"/>
      <c r="G61" s="29" t="str">
        <f aca="false">IF($F61&lt;&gt;"",$F61,$J61)</f>
        <v>FAM-034</v>
      </c>
      <c r="H61" s="29" t="str">
        <f aca="false">IF($G61&lt;&gt;"","yes","")</f>
        <v>yes</v>
      </c>
      <c r="I61" s="30" t="s">
        <v>546</v>
      </c>
      <c r="J61" s="30" t="s">
        <v>234</v>
      </c>
      <c r="K61" s="30"/>
      <c r="L61" s="30" t="s">
        <v>603</v>
      </c>
      <c r="M61" s="30" t="s">
        <v>556</v>
      </c>
      <c r="N61" s="28" t="s">
        <v>724</v>
      </c>
    </row>
    <row r="62" customFormat="false" ht="15" hidden="false" customHeight="false" outlineLevel="0" collapsed="false">
      <c r="A62" s="26" t="n">
        <v>46123</v>
      </c>
      <c r="B62" s="27" t="n">
        <v>217.25</v>
      </c>
      <c r="C62" s="28" t="s">
        <v>725</v>
      </c>
      <c r="D62" s="28" t="s">
        <v>726</v>
      </c>
      <c r="E62" s="28" t="s">
        <v>101</v>
      </c>
      <c r="F62" s="29"/>
      <c r="G62" s="29" t="str">
        <f aca="false">IF($F62&lt;&gt;"",$F62,$J62)</f>
        <v>FAM-025</v>
      </c>
      <c r="H62" s="29" t="str">
        <f aca="false">IF($G62&lt;&gt;"","yes","")</f>
        <v>yes</v>
      </c>
      <c r="I62" s="30" t="s">
        <v>541</v>
      </c>
      <c r="J62" s="30" t="s">
        <v>204</v>
      </c>
      <c r="K62" s="30"/>
      <c r="L62" s="30" t="s">
        <v>727</v>
      </c>
      <c r="M62" s="30"/>
      <c r="N62" s="28" t="s">
        <v>728</v>
      </c>
    </row>
    <row r="63" customFormat="false" ht="15" hidden="false" customHeight="false" outlineLevel="0" collapsed="false">
      <c r="A63" s="26" t="n">
        <v>46129</v>
      </c>
      <c r="B63" s="27" t="n">
        <v>434.5</v>
      </c>
      <c r="C63" s="28" t="s">
        <v>129</v>
      </c>
      <c r="D63" s="28" t="s">
        <v>128</v>
      </c>
      <c r="E63" s="28" t="s">
        <v>106</v>
      </c>
      <c r="F63" s="29"/>
      <c r="G63" s="29" t="str">
        <f aca="false">IF($F63&lt;&gt;"",$F63,$J63)</f>
        <v>FAM-003</v>
      </c>
      <c r="H63" s="29" t="str">
        <f aca="false">IF($G63&lt;&gt;"","yes","")</f>
        <v>yes</v>
      </c>
      <c r="I63" s="30" t="s">
        <v>546</v>
      </c>
      <c r="J63" s="30" t="s">
        <v>126</v>
      </c>
      <c r="K63" s="30"/>
      <c r="L63" s="30" t="s">
        <v>729</v>
      </c>
      <c r="M63" s="30" t="s">
        <v>543</v>
      </c>
      <c r="N63" s="28" t="s">
        <v>730</v>
      </c>
    </row>
    <row r="64" customFormat="false" ht="15" hidden="false" customHeight="false" outlineLevel="0" collapsed="false">
      <c r="A64" s="26" t="n">
        <v>46132</v>
      </c>
      <c r="B64" s="27" t="n">
        <v>374.75</v>
      </c>
      <c r="C64" s="28" t="s">
        <v>162</v>
      </c>
      <c r="D64" s="28" t="s">
        <v>161</v>
      </c>
      <c r="E64" s="28" t="s">
        <v>106</v>
      </c>
      <c r="F64" s="29"/>
      <c r="G64" s="29" t="str">
        <f aca="false">IF($F64&lt;&gt;"",$F64,$J64)</f>
        <v>FAM-012</v>
      </c>
      <c r="H64" s="29" t="str">
        <f aca="false">IF($G64&lt;&gt;"","yes","")</f>
        <v>yes</v>
      </c>
      <c r="I64" s="30" t="s">
        <v>546</v>
      </c>
      <c r="J64" s="30" t="s">
        <v>159</v>
      </c>
      <c r="K64" s="30"/>
      <c r="L64" s="30" t="s">
        <v>731</v>
      </c>
      <c r="M64" s="30" t="s">
        <v>556</v>
      </c>
      <c r="N64" s="28" t="s">
        <v>732</v>
      </c>
    </row>
    <row r="65" customFormat="false" ht="15" hidden="false" customHeight="false" outlineLevel="0" collapsed="false">
      <c r="A65" s="26" t="n">
        <v>46132</v>
      </c>
      <c r="B65" s="27" t="n">
        <v>774.5</v>
      </c>
      <c r="C65" s="28" t="s">
        <v>733</v>
      </c>
      <c r="D65" s="28" t="s">
        <v>621</v>
      </c>
      <c r="E65" s="28" t="s">
        <v>101</v>
      </c>
      <c r="F65" s="29"/>
      <c r="G65" s="29" t="str">
        <f aca="false">IF($F65&lt;&gt;"",$F65,$J65)</f>
        <v>FAM-046</v>
      </c>
      <c r="H65" s="29" t="str">
        <f aca="false">IF($G65&lt;&gt;"","yes","")</f>
        <v>yes</v>
      </c>
      <c r="I65" s="30" t="s">
        <v>541</v>
      </c>
      <c r="J65" s="30" t="s">
        <v>276</v>
      </c>
      <c r="K65" s="30"/>
      <c r="L65" s="30" t="s">
        <v>734</v>
      </c>
      <c r="M65" s="30" t="s">
        <v>571</v>
      </c>
      <c r="N65" s="28" t="s">
        <v>735</v>
      </c>
    </row>
    <row r="66" customFormat="false" ht="15" hidden="false" customHeight="false" outlineLevel="0" collapsed="false">
      <c r="A66" s="26" t="n">
        <v>46133</v>
      </c>
      <c r="B66" s="27" t="n">
        <v>1249.12</v>
      </c>
      <c r="C66" s="28" t="s">
        <v>736</v>
      </c>
      <c r="D66" s="28" t="s">
        <v>737</v>
      </c>
      <c r="E66" s="28" t="s">
        <v>106</v>
      </c>
      <c r="F66" s="29"/>
      <c r="G66" s="29" t="str">
        <f aca="false">IF($F66&lt;&gt;"",$F66,$J66)</f>
        <v>FAM-013</v>
      </c>
      <c r="H66" s="29" t="str">
        <f aca="false">IF($G66&lt;&gt;"","yes","")</f>
        <v>yes</v>
      </c>
      <c r="I66" s="30" t="s">
        <v>541</v>
      </c>
      <c r="J66" s="30" t="s">
        <v>163</v>
      </c>
      <c r="K66" s="30"/>
      <c r="L66" s="30" t="s">
        <v>738</v>
      </c>
      <c r="M66" s="30" t="s">
        <v>618</v>
      </c>
      <c r="N66" s="28" t="s">
        <v>739</v>
      </c>
    </row>
    <row r="67" customFormat="false" ht="15" hidden="false" customHeight="false" outlineLevel="0" collapsed="false">
      <c r="A67" s="31" t="n">
        <v>46133</v>
      </c>
      <c r="B67" s="32" t="n">
        <v>434.5</v>
      </c>
      <c r="C67" s="33" t="s">
        <v>740</v>
      </c>
      <c r="D67" s="33" t="s">
        <v>267</v>
      </c>
      <c r="E67" s="33" t="s">
        <v>106</v>
      </c>
      <c r="F67" s="34"/>
      <c r="G67" s="34" t="n">
        <f aca="false">IF($F67&lt;&gt;"",$F67,$J67)</f>
        <v>0</v>
      </c>
      <c r="H67" s="34" t="str">
        <f aca="false">IF($G67&lt;&gt;"","yes","")</f>
        <v/>
      </c>
      <c r="I67" s="35" t="s">
        <v>550</v>
      </c>
      <c r="J67" s="35"/>
      <c r="K67" s="35" t="s">
        <v>741</v>
      </c>
      <c r="L67" s="35" t="s">
        <v>742</v>
      </c>
      <c r="M67" s="35" t="s">
        <v>571</v>
      </c>
      <c r="N67" s="33" t="s">
        <v>743</v>
      </c>
    </row>
    <row r="68" customFormat="false" ht="15" hidden="false" customHeight="false" outlineLevel="0" collapsed="false">
      <c r="A68" s="36" t="n">
        <v>46133</v>
      </c>
      <c r="B68" s="37" t="n">
        <v>347</v>
      </c>
      <c r="C68" s="38" t="s">
        <v>744</v>
      </c>
      <c r="D68" s="38" t="s">
        <v>745</v>
      </c>
      <c r="E68" s="38" t="s">
        <v>106</v>
      </c>
      <c r="F68" s="39"/>
      <c r="G68" s="39" t="n">
        <f aca="false">IF($F68&lt;&gt;"",$F68,$J68)</f>
        <v>0</v>
      </c>
      <c r="H68" s="39" t="str">
        <f aca="false">IF($G68&lt;&gt;"","yes","")</f>
        <v/>
      </c>
      <c r="I68" s="40" t="s">
        <v>746</v>
      </c>
      <c r="J68" s="40"/>
      <c r="K68" s="40" t="s">
        <v>175</v>
      </c>
      <c r="L68" s="40" t="s">
        <v>747</v>
      </c>
      <c r="M68" s="40" t="s">
        <v>556</v>
      </c>
      <c r="N68" s="38" t="s">
        <v>748</v>
      </c>
    </row>
    <row r="69" customFormat="false" ht="15" hidden="false" customHeight="false" outlineLevel="0" collapsed="false">
      <c r="A69" s="26" t="n">
        <v>46135</v>
      </c>
      <c r="B69" s="27" t="n">
        <v>387.25</v>
      </c>
      <c r="C69" s="28" t="s">
        <v>249</v>
      </c>
      <c r="D69" s="28" t="s">
        <v>248</v>
      </c>
      <c r="E69" s="28" t="s">
        <v>106</v>
      </c>
      <c r="F69" s="29"/>
      <c r="G69" s="29" t="str">
        <f aca="false">IF($F69&lt;&gt;"",$F69,$J69)</f>
        <v>FAM-037</v>
      </c>
      <c r="H69" s="29" t="str">
        <f aca="false">IF($G69&lt;&gt;"","yes","")</f>
        <v>yes</v>
      </c>
      <c r="I69" s="30" t="s">
        <v>546</v>
      </c>
      <c r="J69" s="30" t="s">
        <v>246</v>
      </c>
      <c r="K69" s="30"/>
      <c r="L69" s="30" t="s">
        <v>712</v>
      </c>
      <c r="M69" s="30" t="s">
        <v>556</v>
      </c>
      <c r="N69" s="28" t="s">
        <v>749</v>
      </c>
    </row>
    <row r="70" customFormat="false" ht="15" hidden="false" customHeight="false" outlineLevel="0" collapsed="false">
      <c r="A70" s="26" t="n">
        <v>46137</v>
      </c>
      <c r="B70" s="27" t="n">
        <v>1041</v>
      </c>
      <c r="C70" s="28" t="s">
        <v>750</v>
      </c>
      <c r="D70" s="28" t="s">
        <v>751</v>
      </c>
      <c r="E70" s="28" t="s">
        <v>106</v>
      </c>
      <c r="F70" s="29"/>
      <c r="G70" s="29" t="str">
        <f aca="false">IF($F70&lt;&gt;"",$F70,$J70)</f>
        <v>FAM-014</v>
      </c>
      <c r="H70" s="29" t="str">
        <f aca="false">IF($G70&lt;&gt;"","yes","")</f>
        <v>yes</v>
      </c>
      <c r="I70" s="30" t="s">
        <v>541</v>
      </c>
      <c r="J70" s="30" t="s">
        <v>166</v>
      </c>
      <c r="K70" s="30"/>
      <c r="L70" s="30" t="s">
        <v>752</v>
      </c>
      <c r="M70" s="30" t="s">
        <v>543</v>
      </c>
      <c r="N70" s="28" t="s">
        <v>753</v>
      </c>
    </row>
    <row r="71" customFormat="false" ht="15" hidden="false" customHeight="false" outlineLevel="0" collapsed="false">
      <c r="A71" s="26" t="n">
        <v>46137</v>
      </c>
      <c r="B71" s="27" t="n">
        <v>387.25</v>
      </c>
      <c r="C71" s="28" t="s">
        <v>140</v>
      </c>
      <c r="D71" s="28" t="s">
        <v>139</v>
      </c>
      <c r="E71" s="28" t="s">
        <v>106</v>
      </c>
      <c r="F71" s="29"/>
      <c r="G71" s="29" t="str">
        <f aca="false">IF($F71&lt;&gt;"",$F71,$J71)</f>
        <v>FAM-006</v>
      </c>
      <c r="H71" s="29" t="str">
        <f aca="false">IF($G71&lt;&gt;"","yes","")</f>
        <v>yes</v>
      </c>
      <c r="I71" s="30" t="s">
        <v>546</v>
      </c>
      <c r="J71" s="30" t="s">
        <v>137</v>
      </c>
      <c r="K71" s="30"/>
      <c r="L71" s="30" t="s">
        <v>754</v>
      </c>
      <c r="M71" s="30" t="s">
        <v>556</v>
      </c>
      <c r="N71" s="28" t="s">
        <v>755</v>
      </c>
    </row>
    <row r="72" customFormat="false" ht="15" hidden="false" customHeight="false" outlineLevel="0" collapsed="false">
      <c r="A72" s="26" t="n">
        <v>46138</v>
      </c>
      <c r="B72" s="27" t="n">
        <v>434.5</v>
      </c>
      <c r="C72" s="28" t="s">
        <v>756</v>
      </c>
      <c r="D72" s="28" t="s">
        <v>757</v>
      </c>
      <c r="E72" s="28" t="s">
        <v>106</v>
      </c>
      <c r="F72" s="29"/>
      <c r="G72" s="29" t="str">
        <f aca="false">IF($F72&lt;&gt;"",$F72,$J72)</f>
        <v>FAM-011</v>
      </c>
      <c r="H72" s="29" t="str">
        <f aca="false">IF($G72&lt;&gt;"","yes","")</f>
        <v>yes</v>
      </c>
      <c r="I72" s="30" t="s">
        <v>541</v>
      </c>
      <c r="J72" s="30" t="s">
        <v>156</v>
      </c>
      <c r="K72" s="30"/>
      <c r="L72" s="30" t="s">
        <v>758</v>
      </c>
      <c r="M72" s="30" t="s">
        <v>543</v>
      </c>
      <c r="N72" s="28" t="s">
        <v>759</v>
      </c>
    </row>
    <row r="73" customFormat="false" ht="15" hidden="false" customHeight="false" outlineLevel="0" collapsed="false">
      <c r="A73" s="26" t="n">
        <v>46138</v>
      </c>
      <c r="B73" s="27" t="n">
        <v>1041</v>
      </c>
      <c r="C73" s="28" t="s">
        <v>241</v>
      </c>
      <c r="D73" s="28" t="s">
        <v>760</v>
      </c>
      <c r="E73" s="28" t="s">
        <v>106</v>
      </c>
      <c r="F73" s="29"/>
      <c r="G73" s="29" t="str">
        <f aca="false">IF($F73&lt;&gt;"",$F73,$J73)</f>
        <v>FAM-035</v>
      </c>
      <c r="H73" s="29" t="str">
        <f aca="false">IF($G73&lt;&gt;"","yes","")</f>
        <v>yes</v>
      </c>
      <c r="I73" s="30" t="s">
        <v>546</v>
      </c>
      <c r="J73" s="30" t="s">
        <v>238</v>
      </c>
      <c r="K73" s="30"/>
      <c r="L73" s="30" t="s">
        <v>761</v>
      </c>
      <c r="M73" s="30" t="s">
        <v>543</v>
      </c>
      <c r="N73" s="28" t="s">
        <v>762</v>
      </c>
    </row>
    <row r="74" customFormat="false" ht="15" hidden="false" customHeight="false" outlineLevel="0" collapsed="false">
      <c r="A74" s="26" t="n">
        <v>46139</v>
      </c>
      <c r="B74" s="27" t="n">
        <v>409.5</v>
      </c>
      <c r="C74" s="28" t="s">
        <v>180</v>
      </c>
      <c r="D74" s="28" t="s">
        <v>763</v>
      </c>
      <c r="E74" s="28" t="s">
        <v>106</v>
      </c>
      <c r="F74" s="29"/>
      <c r="G74" s="29" t="str">
        <f aca="false">IF($F74&lt;&gt;"",$F74,$J74)</f>
        <v>FAM-018</v>
      </c>
      <c r="H74" s="29" t="str">
        <f aca="false">IF($G74&lt;&gt;"","yes","")</f>
        <v>yes</v>
      </c>
      <c r="I74" s="30" t="s">
        <v>546</v>
      </c>
      <c r="J74" s="30" t="s">
        <v>177</v>
      </c>
      <c r="K74" s="30"/>
      <c r="L74" s="30" t="s">
        <v>764</v>
      </c>
      <c r="M74" s="30" t="s">
        <v>543</v>
      </c>
      <c r="N74" s="28" t="s">
        <v>765</v>
      </c>
    </row>
    <row r="75" customFormat="false" ht="15" hidden="false" customHeight="false" outlineLevel="0" collapsed="false">
      <c r="A75" s="26" t="n">
        <v>46139</v>
      </c>
      <c r="B75" s="27" t="n">
        <v>374.75</v>
      </c>
      <c r="C75" s="28" t="s">
        <v>325</v>
      </c>
      <c r="D75" s="28" t="s">
        <v>324</v>
      </c>
      <c r="E75" s="28" t="s">
        <v>106</v>
      </c>
      <c r="F75" s="29"/>
      <c r="G75" s="29" t="str">
        <f aca="false">IF($F75&lt;&gt;"",$F75,$J75)</f>
        <v>FAM-060</v>
      </c>
      <c r="H75" s="29" t="str">
        <f aca="false">IF($G75&lt;&gt;"","yes","")</f>
        <v>yes</v>
      </c>
      <c r="I75" s="30" t="s">
        <v>546</v>
      </c>
      <c r="J75" s="30" t="s">
        <v>322</v>
      </c>
      <c r="K75" s="30"/>
      <c r="L75" s="30" t="s">
        <v>766</v>
      </c>
      <c r="M75" s="30" t="s">
        <v>556</v>
      </c>
      <c r="N75" s="28" t="s">
        <v>767</v>
      </c>
    </row>
    <row r="76" customFormat="false" ht="15" hidden="false" customHeight="false" outlineLevel="0" collapsed="false">
      <c r="A76" s="26" t="n">
        <v>46140</v>
      </c>
      <c r="B76" s="27" t="n">
        <v>434.5</v>
      </c>
      <c r="C76" s="28" t="s">
        <v>305</v>
      </c>
      <c r="D76" s="28" t="s">
        <v>304</v>
      </c>
      <c r="E76" s="28" t="s">
        <v>106</v>
      </c>
      <c r="F76" s="29"/>
      <c r="G76" s="29" t="str">
        <f aca="false">IF($F76&lt;&gt;"",$F76,$J76)</f>
        <v>FAM-054</v>
      </c>
      <c r="H76" s="29" t="str">
        <f aca="false">IF($G76&lt;&gt;"","yes","")</f>
        <v>yes</v>
      </c>
      <c r="I76" s="30" t="s">
        <v>546</v>
      </c>
      <c r="J76" s="30" t="s">
        <v>302</v>
      </c>
      <c r="K76" s="30"/>
      <c r="L76" s="30" t="s">
        <v>768</v>
      </c>
      <c r="M76" s="30" t="s">
        <v>543</v>
      </c>
      <c r="N76" s="28" t="s">
        <v>769</v>
      </c>
    </row>
    <row r="77" customFormat="false" ht="15" hidden="false" customHeight="false" outlineLevel="0" collapsed="false">
      <c r="A77" s="26" t="n">
        <v>46141</v>
      </c>
      <c r="B77" s="27" t="n">
        <v>217.25</v>
      </c>
      <c r="C77" s="28" t="s">
        <v>184</v>
      </c>
      <c r="D77" s="28" t="s">
        <v>183</v>
      </c>
      <c r="E77" s="28" t="s">
        <v>106</v>
      </c>
      <c r="F77" s="29"/>
      <c r="G77" s="29" t="str">
        <f aca="false">IF($F77&lt;&gt;"",$F77,$J77)</f>
        <v>FAM-019</v>
      </c>
      <c r="H77" s="29" t="str">
        <f aca="false">IF($G77&lt;&gt;"","yes","")</f>
        <v>yes</v>
      </c>
      <c r="I77" s="30" t="s">
        <v>546</v>
      </c>
      <c r="J77" s="30" t="s">
        <v>181</v>
      </c>
      <c r="K77" s="30"/>
      <c r="L77" s="30" t="s">
        <v>770</v>
      </c>
      <c r="M77" s="30" t="s">
        <v>556</v>
      </c>
      <c r="N77" s="28" t="s">
        <v>771</v>
      </c>
    </row>
    <row r="78" customFormat="false" ht="15" hidden="false" customHeight="false" outlineLevel="0" collapsed="false">
      <c r="A78" s="36" t="n">
        <v>46143</v>
      </c>
      <c r="B78" s="37" t="n">
        <v>592</v>
      </c>
      <c r="C78" s="38" t="s">
        <v>772</v>
      </c>
      <c r="D78" s="38" t="s">
        <v>773</v>
      </c>
      <c r="E78" s="38" t="s">
        <v>101</v>
      </c>
      <c r="F78" s="39"/>
      <c r="G78" s="39" t="n">
        <f aca="false">IF($F78&lt;&gt;"",$F78,$J78)</f>
        <v>0</v>
      </c>
      <c r="H78" s="39" t="str">
        <f aca="false">IF($G78&lt;&gt;"","yes","")</f>
        <v/>
      </c>
      <c r="I78" s="40" t="s">
        <v>628</v>
      </c>
      <c r="J78" s="40"/>
      <c r="K78" s="40" t="s">
        <v>774</v>
      </c>
      <c r="L78" s="40" t="s">
        <v>775</v>
      </c>
      <c r="M78" s="40"/>
      <c r="N78" s="38" t="s">
        <v>776</v>
      </c>
    </row>
    <row r="79" customFormat="false" ht="15" hidden="false" customHeight="false" outlineLevel="0" collapsed="false">
      <c r="A79" s="26" t="n">
        <v>46144</v>
      </c>
      <c r="B79" s="27" t="n">
        <v>217.25</v>
      </c>
      <c r="C79" s="28" t="s">
        <v>725</v>
      </c>
      <c r="D79" s="28" t="s">
        <v>777</v>
      </c>
      <c r="E79" s="28" t="s">
        <v>106</v>
      </c>
      <c r="F79" s="29"/>
      <c r="G79" s="29" t="str">
        <f aca="false">IF($F79&lt;&gt;"",$F79,$J79)</f>
        <v>FAM-025</v>
      </c>
      <c r="H79" s="29" t="str">
        <f aca="false">IF($G79&lt;&gt;"","yes","")</f>
        <v>yes</v>
      </c>
      <c r="I79" s="30" t="s">
        <v>541</v>
      </c>
      <c r="J79" s="30" t="s">
        <v>204</v>
      </c>
      <c r="K79" s="30"/>
      <c r="L79" s="30" t="s">
        <v>778</v>
      </c>
      <c r="M79" s="30" t="s">
        <v>556</v>
      </c>
      <c r="N79" s="28" t="s">
        <v>779</v>
      </c>
    </row>
    <row r="80" customFormat="false" ht="15" hidden="false" customHeight="false" outlineLevel="0" collapsed="false">
      <c r="A80" s="36" t="n">
        <v>46168</v>
      </c>
      <c r="B80" s="37" t="n">
        <v>347</v>
      </c>
      <c r="C80" s="38" t="s">
        <v>744</v>
      </c>
      <c r="D80" s="38" t="s">
        <v>780</v>
      </c>
      <c r="E80" s="38" t="s">
        <v>106</v>
      </c>
      <c r="F80" s="39"/>
      <c r="G80" s="39" t="n">
        <f aca="false">IF($F80&lt;&gt;"",$F80,$J80)</f>
        <v>0</v>
      </c>
      <c r="H80" s="39" t="str">
        <f aca="false">IF($G80&lt;&gt;"","yes","")</f>
        <v/>
      </c>
      <c r="I80" s="40" t="s">
        <v>746</v>
      </c>
      <c r="J80" s="40"/>
      <c r="K80" s="40" t="s">
        <v>175</v>
      </c>
      <c r="L80" s="40" t="s">
        <v>747</v>
      </c>
      <c r="M80" s="40" t="s">
        <v>556</v>
      </c>
      <c r="N80" s="38" t="s">
        <v>781</v>
      </c>
    </row>
    <row r="81" customFormat="false" ht="15" hidden="false" customHeight="false" outlineLevel="0" collapsed="false">
      <c r="A81" s="36" t="n">
        <v>46170</v>
      </c>
      <c r="B81" s="37" t="n">
        <v>592</v>
      </c>
      <c r="C81" s="38" t="s">
        <v>772</v>
      </c>
      <c r="D81" s="38" t="s">
        <v>782</v>
      </c>
      <c r="E81" s="38" t="s">
        <v>106</v>
      </c>
      <c r="F81" s="39"/>
      <c r="G81" s="39" t="n">
        <f aca="false">IF($F81&lt;&gt;"",$F81,$J81)</f>
        <v>0</v>
      </c>
      <c r="H81" s="39" t="str">
        <f aca="false">IF($G81&lt;&gt;"","yes","")</f>
        <v/>
      </c>
      <c r="I81" s="40" t="s">
        <v>628</v>
      </c>
      <c r="J81" s="40"/>
      <c r="K81" s="40" t="s">
        <v>774</v>
      </c>
      <c r="L81" s="40" t="s">
        <v>775</v>
      </c>
      <c r="M81" s="40"/>
      <c r="N81" s="38" t="s">
        <v>783</v>
      </c>
    </row>
    <row r="82" customFormat="false" ht="15" hidden="false" customHeight="false" outlineLevel="0" collapsed="false">
      <c r="A82" s="26" t="n">
        <v>46182</v>
      </c>
      <c r="B82" s="27" t="n">
        <v>374.75</v>
      </c>
      <c r="C82" s="28" t="s">
        <v>325</v>
      </c>
      <c r="D82" s="28" t="s">
        <v>784</v>
      </c>
      <c r="E82" s="28" t="s">
        <v>106</v>
      </c>
      <c r="F82" s="29"/>
      <c r="G82" s="29" t="str">
        <f aca="false">IF($F82&lt;&gt;"",$F82,$J82)</f>
        <v>FAM-060</v>
      </c>
      <c r="H82" s="29" t="str">
        <f aca="false">IF($G82&lt;&gt;"","yes","")</f>
        <v>yes</v>
      </c>
      <c r="I82" s="30" t="s">
        <v>546</v>
      </c>
      <c r="J82" s="30" t="s">
        <v>322</v>
      </c>
      <c r="K82" s="30"/>
      <c r="L82" s="30" t="s">
        <v>603</v>
      </c>
      <c r="M82" s="30" t="s">
        <v>556</v>
      </c>
      <c r="N82" s="28" t="s">
        <v>785</v>
      </c>
    </row>
    <row r="83" customFormat="false" ht="15" hidden="false" customHeight="false" outlineLevel="0" collapsed="false">
      <c r="A83" s="26" t="n">
        <v>46182</v>
      </c>
      <c r="B83" s="27" t="n">
        <v>387.25</v>
      </c>
      <c r="C83" s="28" t="s">
        <v>140</v>
      </c>
      <c r="D83" s="28" t="s">
        <v>786</v>
      </c>
      <c r="E83" s="28" t="s">
        <v>106</v>
      </c>
      <c r="F83" s="29"/>
      <c r="G83" s="29" t="str">
        <f aca="false">IF($F83&lt;&gt;"",$F83,$J83)</f>
        <v>FAM-006</v>
      </c>
      <c r="H83" s="29" t="str">
        <f aca="false">IF($G83&lt;&gt;"","yes","")</f>
        <v>yes</v>
      </c>
      <c r="I83" s="30" t="s">
        <v>546</v>
      </c>
      <c r="J83" s="30" t="s">
        <v>137</v>
      </c>
      <c r="K83" s="30"/>
      <c r="L83" s="30" t="s">
        <v>603</v>
      </c>
      <c r="M83" s="30" t="s">
        <v>556</v>
      </c>
      <c r="N83" s="28" t="s">
        <v>787</v>
      </c>
    </row>
  </sheetData>
  <autoFilter ref="A3:N83"/>
  <conditionalFormatting sqref="A4:N83">
    <cfRule type="expression" priority="2" aboveAverage="0" equalAverage="0" bottom="0" percent="0" rank="0" text="" dxfId="12">
      <formula>$I4="X"</formula>
    </cfRule>
    <cfRule type="expression" priority="3" aboveAverage="0" equalAverage="0" bottom="0" percent="0" rank="0" text="" dxfId="13">
      <formula>AND($H4="",$I4&lt;&gt;"X")</formula>
    </cfRule>
    <cfRule type="expression" priority="4" aboveAverage="0" equalAverage="0" bottom="0" percent="0" rank="0" text="" dxfId="14">
      <formula>$H4="yes"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34"/>
    <col collapsed="false" customWidth="true" hidden="false" outlineLevel="0" max="9" min="9" style="0" width="70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788</v>
      </c>
    </row>
    <row r="3" customFormat="false" ht="46.25" hidden="false" customHeight="false" outlineLevel="0" collapsed="false">
      <c r="A3" s="10" t="s">
        <v>789</v>
      </c>
      <c r="B3" s="10" t="s">
        <v>527</v>
      </c>
      <c r="C3" s="10" t="s">
        <v>528</v>
      </c>
      <c r="D3" s="10" t="s">
        <v>529</v>
      </c>
      <c r="E3" s="10" t="s">
        <v>530</v>
      </c>
      <c r="F3" s="10" t="s">
        <v>335</v>
      </c>
      <c r="G3" s="10" t="s">
        <v>534</v>
      </c>
      <c r="H3" s="10" t="s">
        <v>790</v>
      </c>
      <c r="I3" s="10" t="s">
        <v>791</v>
      </c>
      <c r="J3" s="10" t="s">
        <v>537</v>
      </c>
      <c r="K3" s="10" t="s">
        <v>792</v>
      </c>
    </row>
    <row r="4" customFormat="false" ht="15" hidden="false" customHeight="false" outlineLevel="0" collapsed="false">
      <c r="A4" s="20" t="n">
        <v>32</v>
      </c>
      <c r="B4" s="41" t="n">
        <v>46071</v>
      </c>
      <c r="C4" s="25" t="n">
        <v>799.5</v>
      </c>
      <c r="D4" s="20" t="s">
        <v>640</v>
      </c>
      <c r="E4" s="20" t="s">
        <v>641</v>
      </c>
      <c r="F4" s="20" t="s">
        <v>106</v>
      </c>
      <c r="G4" s="20" t="s">
        <v>628</v>
      </c>
      <c r="H4" s="20" t="s">
        <v>793</v>
      </c>
      <c r="I4" s="20" t="s">
        <v>643</v>
      </c>
      <c r="J4" s="20" t="s">
        <v>794</v>
      </c>
      <c r="K4" s="25"/>
    </row>
    <row r="5" customFormat="false" ht="15" hidden="false" customHeight="false" outlineLevel="0" collapsed="false">
      <c r="A5" s="20" t="n">
        <v>78</v>
      </c>
      <c r="B5" s="41" t="n">
        <v>46143</v>
      </c>
      <c r="C5" s="25" t="n">
        <v>592</v>
      </c>
      <c r="D5" s="20" t="s">
        <v>772</v>
      </c>
      <c r="E5" s="20" t="s">
        <v>773</v>
      </c>
      <c r="F5" s="20" t="s">
        <v>101</v>
      </c>
      <c r="G5" s="20" t="s">
        <v>628</v>
      </c>
      <c r="H5" s="20" t="s">
        <v>795</v>
      </c>
      <c r="I5" s="20" t="s">
        <v>775</v>
      </c>
      <c r="J5" s="20" t="s">
        <v>794</v>
      </c>
      <c r="K5" s="25"/>
    </row>
    <row r="6" customFormat="false" ht="15" hidden="false" customHeight="false" outlineLevel="0" collapsed="false">
      <c r="A6" s="20" t="n">
        <v>81</v>
      </c>
      <c r="B6" s="41" t="n">
        <v>46170</v>
      </c>
      <c r="C6" s="25" t="n">
        <v>592</v>
      </c>
      <c r="D6" s="20" t="s">
        <v>772</v>
      </c>
      <c r="E6" s="20" t="s">
        <v>782</v>
      </c>
      <c r="F6" s="20" t="s">
        <v>106</v>
      </c>
      <c r="G6" s="20" t="s">
        <v>628</v>
      </c>
      <c r="H6" s="20" t="s">
        <v>795</v>
      </c>
      <c r="I6" s="20" t="s">
        <v>775</v>
      </c>
      <c r="J6" s="20" t="s">
        <v>794</v>
      </c>
      <c r="K6" s="25"/>
    </row>
    <row r="7" customFormat="false" ht="15" hidden="false" customHeight="false" outlineLevel="0" collapsed="false">
      <c r="A7" s="20" t="n">
        <v>29</v>
      </c>
      <c r="B7" s="41" t="n">
        <v>46070</v>
      </c>
      <c r="C7" s="25" t="n">
        <v>434.5</v>
      </c>
      <c r="D7" s="20" t="s">
        <v>627</v>
      </c>
      <c r="E7" s="20" t="s">
        <v>146</v>
      </c>
      <c r="F7" s="20" t="s">
        <v>106</v>
      </c>
      <c r="G7" s="20" t="s">
        <v>628</v>
      </c>
      <c r="H7" s="20" t="s">
        <v>796</v>
      </c>
      <c r="I7" s="20" t="s">
        <v>630</v>
      </c>
      <c r="J7" s="20" t="s">
        <v>794</v>
      </c>
      <c r="K7" s="25"/>
    </row>
    <row r="8" customFormat="false" ht="15" hidden="false" customHeight="false" outlineLevel="0" collapsed="false">
      <c r="A8" s="33" t="n">
        <v>36</v>
      </c>
      <c r="B8" s="31" t="n">
        <v>46077</v>
      </c>
      <c r="C8" s="32" t="n">
        <v>434.5</v>
      </c>
      <c r="D8" s="33" t="s">
        <v>654</v>
      </c>
      <c r="E8" s="33" t="s">
        <v>232</v>
      </c>
      <c r="F8" s="33" t="s">
        <v>106</v>
      </c>
      <c r="G8" s="33" t="s">
        <v>550</v>
      </c>
      <c r="H8" s="33" t="s">
        <v>797</v>
      </c>
      <c r="I8" s="33" t="s">
        <v>656</v>
      </c>
      <c r="J8" s="33" t="s">
        <v>794</v>
      </c>
      <c r="K8" s="32"/>
    </row>
    <row r="9" customFormat="false" ht="15" hidden="false" customHeight="false" outlineLevel="0" collapsed="false">
      <c r="A9" s="20" t="n">
        <v>49</v>
      </c>
      <c r="B9" s="41" t="n">
        <v>46103</v>
      </c>
      <c r="C9" s="25" t="n">
        <v>434.5</v>
      </c>
      <c r="D9" s="20" t="s">
        <v>691</v>
      </c>
      <c r="E9" s="20" t="s">
        <v>692</v>
      </c>
      <c r="F9" s="20" t="s">
        <v>106</v>
      </c>
      <c r="G9" s="20" t="s">
        <v>628</v>
      </c>
      <c r="H9" s="20" t="s">
        <v>798</v>
      </c>
      <c r="I9" s="20" t="s">
        <v>694</v>
      </c>
      <c r="J9" s="20" t="s">
        <v>794</v>
      </c>
      <c r="K9" s="25"/>
    </row>
    <row r="10" customFormat="false" ht="15" hidden="false" customHeight="false" outlineLevel="0" collapsed="false">
      <c r="A10" s="33" t="n">
        <v>67</v>
      </c>
      <c r="B10" s="31" t="n">
        <v>46133</v>
      </c>
      <c r="C10" s="32" t="n">
        <v>434.5</v>
      </c>
      <c r="D10" s="33" t="s">
        <v>740</v>
      </c>
      <c r="E10" s="33" t="s">
        <v>267</v>
      </c>
      <c r="F10" s="33" t="s">
        <v>106</v>
      </c>
      <c r="G10" s="33" t="s">
        <v>550</v>
      </c>
      <c r="H10" s="33" t="s">
        <v>799</v>
      </c>
      <c r="I10" s="33" t="s">
        <v>742</v>
      </c>
      <c r="J10" s="33" t="s">
        <v>794</v>
      </c>
      <c r="K10" s="32"/>
    </row>
    <row r="11" customFormat="false" ht="15" hidden="false" customHeight="false" outlineLevel="0" collapsed="false">
      <c r="A11" s="20" t="n">
        <v>45</v>
      </c>
      <c r="B11" s="41" t="n">
        <v>46092</v>
      </c>
      <c r="C11" s="25" t="n">
        <v>-409.5</v>
      </c>
      <c r="D11" s="20" t="s">
        <v>680</v>
      </c>
      <c r="E11" s="20" t="s">
        <v>681</v>
      </c>
      <c r="F11" s="20" t="s">
        <v>106</v>
      </c>
      <c r="G11" s="20" t="s">
        <v>628</v>
      </c>
      <c r="H11" s="20"/>
      <c r="I11" s="20" t="s">
        <v>682</v>
      </c>
      <c r="J11" s="20" t="s">
        <v>794</v>
      </c>
      <c r="K11" s="25"/>
    </row>
    <row r="12" customFormat="false" ht="15" hidden="false" customHeight="false" outlineLevel="0" collapsed="false">
      <c r="A12" s="38" t="n">
        <v>68</v>
      </c>
      <c r="B12" s="36" t="n">
        <v>46133</v>
      </c>
      <c r="C12" s="37" t="n">
        <v>347</v>
      </c>
      <c r="D12" s="38" t="s">
        <v>744</v>
      </c>
      <c r="E12" s="38" t="s">
        <v>745</v>
      </c>
      <c r="F12" s="38" t="s">
        <v>106</v>
      </c>
      <c r="G12" s="38" t="s">
        <v>746</v>
      </c>
      <c r="H12" s="38" t="s">
        <v>800</v>
      </c>
      <c r="I12" s="38" t="s">
        <v>747</v>
      </c>
      <c r="J12" s="38" t="s">
        <v>556</v>
      </c>
      <c r="K12" s="37" t="n">
        <v>694</v>
      </c>
    </row>
    <row r="13" customFormat="false" ht="15" hidden="false" customHeight="false" outlineLevel="0" collapsed="false">
      <c r="A13" s="38" t="n">
        <v>80</v>
      </c>
      <c r="B13" s="36" t="n">
        <v>46168</v>
      </c>
      <c r="C13" s="37" t="n">
        <v>347</v>
      </c>
      <c r="D13" s="38" t="s">
        <v>744</v>
      </c>
      <c r="E13" s="38" t="s">
        <v>780</v>
      </c>
      <c r="F13" s="38" t="s">
        <v>106</v>
      </c>
      <c r="G13" s="38" t="s">
        <v>746</v>
      </c>
      <c r="H13" s="38" t="s">
        <v>800</v>
      </c>
      <c r="I13" s="38" t="s">
        <v>747</v>
      </c>
      <c r="J13" s="38" t="s">
        <v>556</v>
      </c>
      <c r="K13" s="37" t="n">
        <v>694</v>
      </c>
    </row>
    <row r="14" customFormat="false" ht="15" hidden="false" customHeight="false" outlineLevel="0" collapsed="false">
      <c r="A14" s="33" t="n">
        <v>6</v>
      </c>
      <c r="B14" s="31" t="n">
        <v>46038</v>
      </c>
      <c r="C14" s="32" t="n">
        <v>229.75</v>
      </c>
      <c r="D14" s="33" t="s">
        <v>549</v>
      </c>
      <c r="E14" s="33" t="s">
        <v>287</v>
      </c>
      <c r="F14" s="33" t="s">
        <v>106</v>
      </c>
      <c r="G14" s="33" t="s">
        <v>550</v>
      </c>
      <c r="H14" s="33" t="s">
        <v>801</v>
      </c>
      <c r="I14" s="33" t="s">
        <v>552</v>
      </c>
      <c r="J14" s="33" t="s">
        <v>794</v>
      </c>
      <c r="K14" s="32"/>
    </row>
  </sheetData>
  <autoFilter ref="A3:K14"/>
  <conditionalFormatting sqref="A4:K14">
    <cfRule type="expression" priority="2" aboveAverage="0" equalAverage="0" bottom="0" percent="0" rank="0" text="" dxfId="16">
      <formula>$G4="X"</formula>
    </cfRule>
    <cfRule type="expression" priority="3" aboveAverage="0" equalAverage="0" bottom="0" percent="0" rank="0" text="" dxfId="13">
      <formula>$G4="C"</formula>
    </cfRule>
    <cfRule type="expression" priority="4" aboveAverage="0" equalAverage="0" bottom="0" percent="0" rank="0" text="" dxfId="17">
      <formula>$G4="D"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34"/>
    <col collapsed="false" customWidth="true" hidden="false" outlineLevel="0" max="13" min="13" style="0" width="48"/>
  </cols>
  <sheetData>
    <row r="1" customFormat="false" ht="16.15" hidden="false" customHeight="false" outlineLevel="0" collapsed="false">
      <c r="A1" s="1" t="s">
        <v>802</v>
      </c>
    </row>
    <row r="2" customFormat="false" ht="15" hidden="false" customHeight="false" outlineLevel="0" collapsed="false">
      <c r="A2" s="3" t="s">
        <v>803</v>
      </c>
      <c r="B2" s="13" t="n">
        <v>46266</v>
      </c>
    </row>
    <row r="4" customFormat="false" ht="23.85" hidden="false" customHeight="false" outlineLevel="0" collapsed="false">
      <c r="A4" s="10" t="s">
        <v>112</v>
      </c>
      <c r="B4" s="10" t="s">
        <v>532</v>
      </c>
      <c r="C4" s="10" t="s">
        <v>804</v>
      </c>
      <c r="D4" s="10" t="s">
        <v>805</v>
      </c>
      <c r="E4" s="10" t="s">
        <v>806</v>
      </c>
      <c r="F4" s="10" t="s">
        <v>807</v>
      </c>
      <c r="G4" s="10" t="s">
        <v>808</v>
      </c>
      <c r="H4" s="10" t="s">
        <v>334</v>
      </c>
      <c r="I4" s="10" t="s">
        <v>1</v>
      </c>
      <c r="J4" s="10" t="s">
        <v>809</v>
      </c>
      <c r="K4" s="10" t="s">
        <v>810</v>
      </c>
      <c r="L4" s="10" t="s">
        <v>811</v>
      </c>
      <c r="M4" s="10" t="s">
        <v>812</v>
      </c>
    </row>
    <row r="5" customFormat="false" ht="15" hidden="false" customHeight="false" outlineLevel="0" collapsed="false">
      <c r="A5" s="38" t="s">
        <v>299</v>
      </c>
      <c r="B5" s="38" t="s">
        <v>300</v>
      </c>
      <c r="C5" s="38" t="n">
        <v>2</v>
      </c>
      <c r="D5" s="38" t="s">
        <v>301</v>
      </c>
      <c r="E5" s="42" t="n">
        <f aca="false">SUMIFS(Children!$R$4:$R$500,Children!$B$4:$B$500,$A5,Children!$F$4:$F$500,"Enrolled",Children!$G$4:$G$500,"JAN-2026")</f>
        <v>799.5</v>
      </c>
      <c r="F5" s="42" t="n">
        <f aca="false">SUMIFS(Receipts!$B$4:$B$600,Receipts!$G$4:$G$600,$A5,Receipts!$E$4:$E$600,"JAN-2026")</f>
        <v>0</v>
      </c>
      <c r="G5" s="42" t="n">
        <f aca="false">$E5-$F5</f>
        <v>799.5</v>
      </c>
      <c r="H5" s="39" t="str">
        <f aca="false">IF($E5=0,"no charge",IF($F5&lt;=0,"unpaid",IF(ABS($G5)&lt;=0.5,"settled",IF($G5&gt;0,"part paid","overpaid"))))</f>
        <v>unpaid</v>
      </c>
      <c r="I5" s="43" t="n">
        <f aca="false">COUNTIFS(Receipts!$G$4:$G$600,$A5,Receipts!$E$4:$E$600,"JAN-2026")</f>
        <v>0</v>
      </c>
      <c r="J5" s="44"/>
      <c r="K5" s="43" t="n">
        <f aca="false">IF($G5&gt;0.5,$B$2-Terms!$G$5,"")</f>
        <v>260</v>
      </c>
      <c r="L5" s="40"/>
      <c r="M5" s="40" t="s">
        <v>813</v>
      </c>
    </row>
    <row r="6" customFormat="false" ht="15" hidden="false" customHeight="false" outlineLevel="0" collapsed="false">
      <c r="A6" s="38" t="s">
        <v>276</v>
      </c>
      <c r="B6" s="38" t="s">
        <v>277</v>
      </c>
      <c r="C6" s="38" t="n">
        <v>2</v>
      </c>
      <c r="D6" s="38" t="s">
        <v>278</v>
      </c>
      <c r="E6" s="42" t="n">
        <f aca="false">SUMIFS(Children!$R$4:$R$500,Children!$B$4:$B$500,$A6,Children!$F$4:$F$500,"Enrolled",Children!$G$4:$G$500,"JAN-2026")</f>
        <v>774.5</v>
      </c>
      <c r="F6" s="42" t="n">
        <f aca="false">SUMIFS(Receipts!$B$4:$B$600,Receipts!$G$4:$G$600,$A6,Receipts!$E$4:$E$600,"JAN-2026")</f>
        <v>0</v>
      </c>
      <c r="G6" s="42" t="n">
        <f aca="false">$E6-$F6</f>
        <v>774.5</v>
      </c>
      <c r="H6" s="39" t="str">
        <f aca="false">IF($E6=0,"no charge",IF($F6&lt;=0,"unpaid",IF(ABS($G6)&lt;=0.5,"settled",IF($G6&gt;0,"part paid","overpaid"))))</f>
        <v>unpaid</v>
      </c>
      <c r="I6" s="43" t="n">
        <f aca="false">COUNTIFS(Receipts!$G$4:$G$600,$A6,Receipts!$E$4:$E$600,"JAN-2026")</f>
        <v>0</v>
      </c>
      <c r="J6" s="44"/>
      <c r="K6" s="43" t="n">
        <f aca="false">IF($G6&gt;0.5,$B$2-Terms!$G$5,"")</f>
        <v>260</v>
      </c>
      <c r="L6" s="40"/>
      <c r="M6" s="40" t="s">
        <v>814</v>
      </c>
    </row>
    <row r="7" customFormat="false" ht="15" hidden="false" customHeight="false" outlineLevel="0" collapsed="false">
      <c r="A7" s="38" t="s">
        <v>265</v>
      </c>
      <c r="B7" s="38" t="s">
        <v>266</v>
      </c>
      <c r="C7" s="38" t="n">
        <v>2</v>
      </c>
      <c r="D7" s="38" t="s">
        <v>267</v>
      </c>
      <c r="E7" s="42" t="n">
        <f aca="false">SUMIFS(Children!$R$4:$R$500,Children!$B$4:$B$500,$A7,Children!$F$4:$F$500,"Enrolled",Children!$G$4:$G$500,"JAN-2026")</f>
        <v>774.5</v>
      </c>
      <c r="F7" s="42" t="n">
        <f aca="false">SUMIFS(Receipts!$B$4:$B$600,Receipts!$G$4:$G$600,$A7,Receipts!$E$4:$E$600,"JAN-2026")</f>
        <v>0</v>
      </c>
      <c r="G7" s="42" t="n">
        <f aca="false">$E7-$F7</f>
        <v>774.5</v>
      </c>
      <c r="H7" s="39" t="str">
        <f aca="false">IF($E7=0,"no charge",IF($F7&lt;=0,"unpaid",IF(ABS($G7)&lt;=0.5,"settled",IF($G7&gt;0,"part paid","overpaid"))))</f>
        <v>unpaid</v>
      </c>
      <c r="I7" s="43" t="n">
        <f aca="false">COUNTIFS(Receipts!$G$4:$G$600,$A7,Receipts!$E$4:$E$600,"JAN-2026")</f>
        <v>0</v>
      </c>
      <c r="J7" s="44"/>
      <c r="K7" s="43" t="n">
        <f aca="false">IF($G7&gt;0.5,$B$2-Terms!$G$5,"")</f>
        <v>260</v>
      </c>
      <c r="L7" s="40"/>
      <c r="M7" s="40" t="s">
        <v>815</v>
      </c>
    </row>
    <row r="8" customFormat="false" ht="15" hidden="false" customHeight="false" outlineLevel="0" collapsed="false">
      <c r="A8" s="38" t="s">
        <v>175</v>
      </c>
      <c r="B8" s="38" t="s">
        <v>174</v>
      </c>
      <c r="C8" s="38" t="n">
        <v>2</v>
      </c>
      <c r="D8" s="38" t="s">
        <v>176</v>
      </c>
      <c r="E8" s="42" t="n">
        <f aca="false">SUMIFS(Children!$R$4:$R$500,Children!$B$4:$B$500,$A8,Children!$F$4:$F$500,"Enrolled",Children!$G$4:$G$500,"JAN-2026")</f>
        <v>774.5</v>
      </c>
      <c r="F8" s="42" t="n">
        <f aca="false">SUMIFS(Receipts!$B$4:$B$600,Receipts!$G$4:$G$600,$A8,Receipts!$E$4:$E$600,"JAN-2026")</f>
        <v>0</v>
      </c>
      <c r="G8" s="42" t="n">
        <f aca="false">$E8-$F8</f>
        <v>774.5</v>
      </c>
      <c r="H8" s="39" t="str">
        <f aca="false">IF($E8=0,"no charge",IF($F8&lt;=0,"unpaid",IF(ABS($G8)&lt;=0.5,"settled",IF($G8&gt;0,"part paid","overpaid"))))</f>
        <v>unpaid</v>
      </c>
      <c r="I8" s="43" t="n">
        <f aca="false">COUNTIFS(Receipts!$G$4:$G$600,$A8,Receipts!$E$4:$E$600,"JAN-2026")</f>
        <v>0</v>
      </c>
      <c r="J8" s="44"/>
      <c r="K8" s="43" t="n">
        <f aca="false">IF($G8&gt;0.5,$B$2-Terms!$G$5,"")</f>
        <v>260</v>
      </c>
      <c r="L8" s="40"/>
      <c r="M8" s="40" t="s">
        <v>816</v>
      </c>
    </row>
    <row r="9" customFormat="false" ht="15" hidden="false" customHeight="false" outlineLevel="0" collapsed="false">
      <c r="A9" s="38" t="s">
        <v>242</v>
      </c>
      <c r="B9" s="38" t="s">
        <v>243</v>
      </c>
      <c r="C9" s="38" t="n">
        <v>3</v>
      </c>
      <c r="D9" s="38" t="s">
        <v>244</v>
      </c>
      <c r="E9" s="42" t="n">
        <f aca="false">SUMIFS(Children!$R$4:$R$500,Children!$B$4:$B$500,$A9,Children!$F$4:$F$500,"Enrolled",Children!$G$4:$G$500,"JAN-2026")</f>
        <v>1041</v>
      </c>
      <c r="F9" s="42" t="n">
        <f aca="false">SUMIFS(Receipts!$B$4:$B$600,Receipts!$G$4:$G$600,$A9,Receipts!$E$4:$E$600,"JAN-2026")</f>
        <v>520.5</v>
      </c>
      <c r="G9" s="42" t="n">
        <f aca="false">$E9-$F9</f>
        <v>520.5</v>
      </c>
      <c r="H9" s="39" t="str">
        <f aca="false">IF($E9=0,"no charge",IF($F9&lt;=0,"unpaid",IF(ABS($G9)&lt;=0.5,"settled",IF($G9&gt;0,"part paid","overpaid"))))</f>
        <v>part paid</v>
      </c>
      <c r="I9" s="43" t="n">
        <f aca="false">COUNTIFS(Receipts!$G$4:$G$600,$A9,Receipts!$E$4:$E$600,"JAN-2026")</f>
        <v>1</v>
      </c>
      <c r="J9" s="44" t="n">
        <v>46078</v>
      </c>
      <c r="K9" s="43" t="n">
        <f aca="false">IF($G9&gt;0.5,$B$2-Terms!$G$5,"")</f>
        <v>260</v>
      </c>
      <c r="L9" s="40" t="s">
        <v>244</v>
      </c>
      <c r="M9" s="40" t="s">
        <v>817</v>
      </c>
    </row>
    <row r="10" customFormat="false" ht="15" hidden="false" customHeight="false" outlineLevel="0" collapsed="false">
      <c r="A10" s="38" t="s">
        <v>123</v>
      </c>
      <c r="B10" s="38" t="s">
        <v>124</v>
      </c>
      <c r="C10" s="38" t="n">
        <v>1</v>
      </c>
      <c r="D10" s="38" t="s">
        <v>125</v>
      </c>
      <c r="E10" s="42" t="n">
        <f aca="false">SUMIFS(Children!$R$4:$R$500,Children!$B$4:$B$500,$A10,Children!$F$4:$F$500,"Enrolled",Children!$G$4:$G$500,"JAN-2026")</f>
        <v>434.5</v>
      </c>
      <c r="F10" s="42" t="n">
        <f aca="false">SUMIFS(Receipts!$B$4:$B$600,Receipts!$G$4:$G$600,$A10,Receipts!$E$4:$E$600,"JAN-2026")</f>
        <v>0</v>
      </c>
      <c r="G10" s="42" t="n">
        <f aca="false">$E10-$F10</f>
        <v>434.5</v>
      </c>
      <c r="H10" s="39" t="str">
        <f aca="false">IF($E10=0,"no charge",IF($F10&lt;=0,"unpaid",IF(ABS($G10)&lt;=0.5,"settled",IF($G10&gt;0,"part paid","overpaid"))))</f>
        <v>unpaid</v>
      </c>
      <c r="I10" s="43" t="n">
        <f aca="false">COUNTIFS(Receipts!$G$4:$G$600,$A10,Receipts!$E$4:$E$600,"JAN-2026")</f>
        <v>0</v>
      </c>
      <c r="J10" s="44"/>
      <c r="K10" s="43" t="n">
        <f aca="false">IF($G10&gt;0.5,$B$2-Terms!$G$5,"")</f>
        <v>260</v>
      </c>
      <c r="L10" s="40"/>
      <c r="M10" s="40" t="s">
        <v>813</v>
      </c>
    </row>
    <row r="11" customFormat="false" ht="15" hidden="false" customHeight="false" outlineLevel="0" collapsed="false">
      <c r="A11" s="20" t="s">
        <v>141</v>
      </c>
      <c r="B11" s="20" t="s">
        <v>142</v>
      </c>
      <c r="C11" s="20" t="n">
        <v>1</v>
      </c>
      <c r="D11" s="20" t="s">
        <v>143</v>
      </c>
      <c r="E11" s="24" t="n">
        <f aca="false">SUMIFS(Children!$R$4:$R$500,Children!$B$4:$B$500,$A11,Children!$F$4:$F$500,"Enrolled",Children!$G$4:$G$500,"JAN-2026")</f>
        <v>434.5</v>
      </c>
      <c r="F11" s="24" t="n">
        <f aca="false">SUMIFS(Receipts!$B$4:$B$600,Receipts!$G$4:$G$600,$A11,Receipts!$E$4:$E$600,"JAN-2026")</f>
        <v>0</v>
      </c>
      <c r="G11" s="24" t="n">
        <f aca="false">$E11-$F11</f>
        <v>434.5</v>
      </c>
      <c r="H11" s="23" t="str">
        <f aca="false">IF($E11=0,"no charge",IF($F11&lt;=0,"unpaid",IF(ABS($G11)&lt;=0.5,"settled",IF($G11&gt;0,"part paid","overpaid"))))</f>
        <v>unpaid</v>
      </c>
      <c r="I11" s="45" t="n">
        <f aca="false">COUNTIFS(Receipts!$G$4:$G$600,$A11,Receipts!$E$4:$E$600,"JAN-2026")</f>
        <v>0</v>
      </c>
      <c r="J11" s="46"/>
      <c r="K11" s="45" t="n">
        <f aca="false">IF($G11&gt;0.5,$B$2-Terms!$G$5,"")</f>
        <v>260</v>
      </c>
      <c r="L11" s="47"/>
      <c r="M11" s="47"/>
    </row>
    <row r="12" customFormat="false" ht="15" hidden="false" customHeight="false" outlineLevel="0" collapsed="false">
      <c r="A12" s="38" t="s">
        <v>149</v>
      </c>
      <c r="B12" s="38" t="s">
        <v>150</v>
      </c>
      <c r="C12" s="38" t="n">
        <v>1</v>
      </c>
      <c r="D12" s="38" t="s">
        <v>151</v>
      </c>
      <c r="E12" s="42" t="n">
        <f aca="false">SUMIFS(Children!$R$4:$R$500,Children!$B$4:$B$500,$A12,Children!$F$4:$F$500,"Enrolled",Children!$G$4:$G$500,"JAN-2026")</f>
        <v>434.5</v>
      </c>
      <c r="F12" s="42" t="n">
        <f aca="false">SUMIFS(Receipts!$B$4:$B$600,Receipts!$G$4:$G$600,$A12,Receipts!$E$4:$E$600,"JAN-2026")</f>
        <v>0</v>
      </c>
      <c r="G12" s="42" t="n">
        <f aca="false">$E12-$F12</f>
        <v>434.5</v>
      </c>
      <c r="H12" s="39" t="str">
        <f aca="false">IF($E12=0,"no charge",IF($F12&lt;=0,"unpaid",IF(ABS($G12)&lt;=0.5,"settled",IF($G12&gt;0,"part paid","overpaid"))))</f>
        <v>unpaid</v>
      </c>
      <c r="I12" s="43" t="n">
        <f aca="false">COUNTIFS(Receipts!$G$4:$G$600,$A12,Receipts!$E$4:$E$600,"JAN-2026")</f>
        <v>0</v>
      </c>
      <c r="J12" s="44"/>
      <c r="K12" s="43" t="n">
        <f aca="false">IF($G12&gt;0.5,$B$2-Terms!$G$5,"")</f>
        <v>260</v>
      </c>
      <c r="L12" s="40"/>
      <c r="M12" s="40" t="s">
        <v>816</v>
      </c>
    </row>
    <row r="13" customFormat="false" ht="15" hidden="false" customHeight="false" outlineLevel="0" collapsed="false">
      <c r="A13" s="38" t="s">
        <v>227</v>
      </c>
      <c r="B13" s="38" t="s">
        <v>228</v>
      </c>
      <c r="C13" s="38" t="n">
        <v>1</v>
      </c>
      <c r="D13" s="38" t="s">
        <v>229</v>
      </c>
      <c r="E13" s="42" t="n">
        <f aca="false">SUMIFS(Children!$R$4:$R$500,Children!$B$4:$B$500,$A13,Children!$F$4:$F$500,"Enrolled",Children!$G$4:$G$500,"JAN-2026")</f>
        <v>434.5</v>
      </c>
      <c r="F13" s="42" t="n">
        <f aca="false">SUMIFS(Receipts!$B$4:$B$600,Receipts!$G$4:$G$600,$A13,Receipts!$E$4:$E$600,"JAN-2026")</f>
        <v>0</v>
      </c>
      <c r="G13" s="42" t="n">
        <f aca="false">$E13-$F13</f>
        <v>434.5</v>
      </c>
      <c r="H13" s="39" t="str">
        <f aca="false">IF($E13=0,"no charge",IF($F13&lt;=0,"unpaid",IF(ABS($G13)&lt;=0.5,"settled",IF($G13&gt;0,"part paid","overpaid"))))</f>
        <v>unpaid</v>
      </c>
      <c r="I13" s="43" t="n">
        <f aca="false">COUNTIFS(Receipts!$G$4:$G$600,$A13,Receipts!$E$4:$E$600,"JAN-2026")</f>
        <v>0</v>
      </c>
      <c r="J13" s="44"/>
      <c r="K13" s="43" t="n">
        <f aca="false">IF($G13&gt;0.5,$B$2-Terms!$G$5,"")</f>
        <v>260</v>
      </c>
      <c r="L13" s="40"/>
      <c r="M13" s="40" t="s">
        <v>813</v>
      </c>
    </row>
    <row r="14" customFormat="false" ht="15" hidden="false" customHeight="false" outlineLevel="0" collapsed="false">
      <c r="A14" s="38" t="s">
        <v>271</v>
      </c>
      <c r="B14" s="38" t="s">
        <v>272</v>
      </c>
      <c r="C14" s="38" t="n">
        <v>1</v>
      </c>
      <c r="D14" s="38" t="s">
        <v>273</v>
      </c>
      <c r="E14" s="42" t="n">
        <f aca="false">SUMIFS(Children!$R$4:$R$500,Children!$B$4:$B$500,$A14,Children!$F$4:$F$500,"Enrolled",Children!$G$4:$G$500,"JAN-2026")</f>
        <v>434.5</v>
      </c>
      <c r="F14" s="42" t="n">
        <f aca="false">SUMIFS(Receipts!$B$4:$B$600,Receipts!$G$4:$G$600,$A14,Receipts!$E$4:$E$600,"JAN-2026")</f>
        <v>0</v>
      </c>
      <c r="G14" s="42" t="n">
        <f aca="false">$E14-$F14</f>
        <v>434.5</v>
      </c>
      <c r="H14" s="39" t="str">
        <f aca="false">IF($E14=0,"no charge",IF($F14&lt;=0,"unpaid",IF(ABS($G14)&lt;=0.5,"settled",IF($G14&gt;0,"part paid","overpaid"))))</f>
        <v>unpaid</v>
      </c>
      <c r="I14" s="43" t="n">
        <f aca="false">COUNTIFS(Receipts!$G$4:$G$600,$A14,Receipts!$E$4:$E$600,"JAN-2026")</f>
        <v>0</v>
      </c>
      <c r="J14" s="44"/>
      <c r="K14" s="43" t="n">
        <f aca="false">IF($G14&gt;0.5,$B$2-Terms!$G$5,"")</f>
        <v>260</v>
      </c>
      <c r="L14" s="40"/>
      <c r="M14" s="40" t="s">
        <v>818</v>
      </c>
    </row>
    <row r="15" customFormat="false" ht="15" hidden="false" customHeight="false" outlineLevel="0" collapsed="false">
      <c r="A15" s="38" t="s">
        <v>274</v>
      </c>
      <c r="B15" s="38" t="s">
        <v>275</v>
      </c>
      <c r="C15" s="38" t="n">
        <v>1</v>
      </c>
      <c r="D15" s="38" t="s">
        <v>146</v>
      </c>
      <c r="E15" s="42" t="n">
        <f aca="false">SUMIFS(Children!$R$4:$R$500,Children!$B$4:$B$500,$A15,Children!$F$4:$F$500,"Enrolled",Children!$G$4:$G$500,"JAN-2026")</f>
        <v>409.5</v>
      </c>
      <c r="F15" s="42" t="n">
        <f aca="false">SUMIFS(Receipts!$B$4:$B$600,Receipts!$G$4:$G$600,$A15,Receipts!$E$4:$E$600,"JAN-2026")</f>
        <v>0</v>
      </c>
      <c r="G15" s="42" t="n">
        <f aca="false">$E15-$F15</f>
        <v>409.5</v>
      </c>
      <c r="H15" s="39" t="str">
        <f aca="false">IF($E15=0,"no charge",IF($F15&lt;=0,"unpaid",IF(ABS($G15)&lt;=0.5,"settled",IF($G15&gt;0,"part paid","overpaid"))))</f>
        <v>unpaid</v>
      </c>
      <c r="I15" s="43" t="n">
        <f aca="false">COUNTIFS(Receipts!$G$4:$G$600,$A15,Receipts!$E$4:$E$600,"JAN-2026")</f>
        <v>0</v>
      </c>
      <c r="J15" s="44"/>
      <c r="K15" s="43" t="n">
        <f aca="false">IF($G15&gt;0.5,$B$2-Terms!$G$5,"")</f>
        <v>260</v>
      </c>
      <c r="L15" s="40"/>
      <c r="M15" s="40" t="s">
        <v>819</v>
      </c>
    </row>
    <row r="16" customFormat="false" ht="15" hidden="false" customHeight="false" outlineLevel="0" collapsed="false">
      <c r="A16" s="38" t="s">
        <v>309</v>
      </c>
      <c r="B16" s="38" t="s">
        <v>310</v>
      </c>
      <c r="C16" s="38" t="n">
        <v>1</v>
      </c>
      <c r="D16" s="38" t="s">
        <v>311</v>
      </c>
      <c r="E16" s="42" t="n">
        <f aca="false">SUMIFS(Children!$R$4:$R$500,Children!$B$4:$B$500,$A16,Children!$F$4:$F$500,"Enrolled",Children!$G$4:$G$500,"JAN-2026")</f>
        <v>409.5</v>
      </c>
      <c r="F16" s="42" t="n">
        <f aca="false">SUMIFS(Receipts!$B$4:$B$600,Receipts!$G$4:$G$600,$A16,Receipts!$E$4:$E$600,"JAN-2026")</f>
        <v>0</v>
      </c>
      <c r="G16" s="42" t="n">
        <f aca="false">$E16-$F16</f>
        <v>409.5</v>
      </c>
      <c r="H16" s="39" t="str">
        <f aca="false">IF($E16=0,"no charge",IF($F16&lt;=0,"unpaid",IF(ABS($G16)&lt;=0.5,"settled",IF($G16&gt;0,"part paid","overpaid"))))</f>
        <v>unpaid</v>
      </c>
      <c r="I16" s="43" t="n">
        <f aca="false">COUNTIFS(Receipts!$G$4:$G$600,$A16,Receipts!$E$4:$E$600,"JAN-2026")</f>
        <v>0</v>
      </c>
      <c r="J16" s="44"/>
      <c r="K16" s="43" t="n">
        <f aca="false">IF($G16&gt;0.5,$B$2-Terms!$G$5,"")</f>
        <v>260</v>
      </c>
      <c r="L16" s="40"/>
      <c r="M16" s="40" t="s">
        <v>820</v>
      </c>
    </row>
    <row r="17" customFormat="false" ht="15" hidden="false" customHeight="false" outlineLevel="0" collapsed="false">
      <c r="A17" s="38" t="s">
        <v>282</v>
      </c>
      <c r="B17" s="38" t="s">
        <v>283</v>
      </c>
      <c r="C17" s="38" t="n">
        <v>1</v>
      </c>
      <c r="D17" s="38" t="s">
        <v>284</v>
      </c>
      <c r="E17" s="42" t="n">
        <f aca="false">SUMIFS(Children!$R$4:$R$500,Children!$B$4:$B$500,$A17,Children!$F$4:$F$500,"Enrolled",Children!$G$4:$G$500,"JAN-2026")</f>
        <v>459.5</v>
      </c>
      <c r="F17" s="42" t="n">
        <f aca="false">SUMIFS(Receipts!$B$4:$B$600,Receipts!$G$4:$G$600,$A17,Receipts!$E$4:$E$600,"JAN-2026")</f>
        <v>229.75</v>
      </c>
      <c r="G17" s="42" t="n">
        <f aca="false">$E17-$F17</f>
        <v>229.75</v>
      </c>
      <c r="H17" s="39" t="str">
        <f aca="false">IF($E17=0,"no charge",IF($F17&lt;=0,"unpaid",IF(ABS($G17)&lt;=0.5,"settled",IF($G17&gt;0,"part paid","overpaid"))))</f>
        <v>part paid</v>
      </c>
      <c r="I17" s="43" t="n">
        <f aca="false">COUNTIFS(Receipts!$G$4:$G$600,$A17,Receipts!$E$4:$E$600,"JAN-2026")</f>
        <v>1</v>
      </c>
      <c r="J17" s="44" t="n">
        <v>46059</v>
      </c>
      <c r="K17" s="43" t="n">
        <f aca="false">IF($G17&gt;0.5,$B$2-Terms!$G$5,"")</f>
        <v>260</v>
      </c>
      <c r="L17" s="40" t="s">
        <v>595</v>
      </c>
      <c r="M17" s="40" t="s">
        <v>813</v>
      </c>
    </row>
    <row r="18" customFormat="false" ht="15" hidden="false" customHeight="false" outlineLevel="0" collapsed="false">
      <c r="A18" s="38" t="s">
        <v>204</v>
      </c>
      <c r="B18" s="38" t="s">
        <v>205</v>
      </c>
      <c r="C18" s="38" t="n">
        <v>1</v>
      </c>
      <c r="D18" s="38" t="s">
        <v>206</v>
      </c>
      <c r="E18" s="42" t="n">
        <f aca="false">SUMIFS(Children!$R$4:$R$500,Children!$B$4:$B$500,$A18,Children!$F$4:$F$500,"Enrolled",Children!$G$4:$G$500,"JAN-2026")</f>
        <v>434.5</v>
      </c>
      <c r="F18" s="42" t="n">
        <f aca="false">SUMIFS(Receipts!$B$4:$B$600,Receipts!$G$4:$G$600,$A18,Receipts!$E$4:$E$600,"JAN-2026")</f>
        <v>217.25</v>
      </c>
      <c r="G18" s="42" t="n">
        <f aca="false">$E18-$F18</f>
        <v>217.25</v>
      </c>
      <c r="H18" s="39" t="str">
        <f aca="false">IF($E18=0,"no charge",IF($F18&lt;=0,"unpaid",IF(ABS($G18)&lt;=0.5,"settled",IF($G18&gt;0,"part paid","overpaid"))))</f>
        <v>part paid</v>
      </c>
      <c r="I18" s="43" t="n">
        <f aca="false">COUNTIFS(Receipts!$G$4:$G$600,$A18,Receipts!$E$4:$E$600,"JAN-2026")</f>
        <v>1</v>
      </c>
      <c r="J18" s="44" t="n">
        <v>46144</v>
      </c>
      <c r="K18" s="43" t="n">
        <f aca="false">IF($G18&gt;0.5,$B$2-Terms!$G$5,"")</f>
        <v>260</v>
      </c>
      <c r="L18" s="40" t="s">
        <v>777</v>
      </c>
      <c r="M18" s="40" t="s">
        <v>821</v>
      </c>
    </row>
    <row r="19" customFormat="false" ht="15" hidden="false" customHeight="false" outlineLevel="0" collapsed="false">
      <c r="A19" s="38" t="s">
        <v>189</v>
      </c>
      <c r="B19" s="38" t="s">
        <v>190</v>
      </c>
      <c r="C19" s="38" t="n">
        <v>1</v>
      </c>
      <c r="D19" s="38" t="s">
        <v>191</v>
      </c>
      <c r="E19" s="42" t="n">
        <f aca="false">SUMIFS(Children!$R$4:$R$500,Children!$B$4:$B$500,$A19,Children!$F$4:$F$500,"Enrolled",Children!$G$4:$G$500,"JAN-2026")</f>
        <v>409.5</v>
      </c>
      <c r="F19" s="42" t="n">
        <f aca="false">SUMIFS(Receipts!$B$4:$B$600,Receipts!$G$4:$G$600,$A19,Receipts!$E$4:$E$600,"JAN-2026")</f>
        <v>204.75</v>
      </c>
      <c r="G19" s="42" t="n">
        <f aca="false">$E19-$F19</f>
        <v>204.75</v>
      </c>
      <c r="H19" s="39" t="str">
        <f aca="false">IF($E19=0,"no charge",IF($F19&lt;=0,"unpaid",IF(ABS($G19)&lt;=0.5,"settled",IF($G19&gt;0,"part paid","overpaid"))))</f>
        <v>part paid</v>
      </c>
      <c r="I19" s="43" t="n">
        <f aca="false">COUNTIFS(Receipts!$G$4:$G$600,$A19,Receipts!$E$4:$E$600,"JAN-2026")</f>
        <v>1</v>
      </c>
      <c r="J19" s="44" t="n">
        <v>46064</v>
      </c>
      <c r="K19" s="43" t="n">
        <f aca="false">IF($G19&gt;0.5,$B$2-Terms!$G$5,"")</f>
        <v>260</v>
      </c>
      <c r="L19" s="40" t="s">
        <v>607</v>
      </c>
      <c r="M19" s="40" t="s">
        <v>822</v>
      </c>
    </row>
    <row r="20" customFormat="false" ht="15" hidden="false" customHeight="false" outlineLevel="0" collapsed="false">
      <c r="A20" s="38" t="s">
        <v>326</v>
      </c>
      <c r="B20" s="38" t="s">
        <v>327</v>
      </c>
      <c r="C20" s="38" t="n">
        <v>1</v>
      </c>
      <c r="D20" s="38" t="s">
        <v>328</v>
      </c>
      <c r="E20" s="42" t="n">
        <f aca="false">SUMIFS(Children!$R$4:$R$500,Children!$B$4:$B$500,$A20,Children!$F$4:$F$500,"Enrolled",Children!$G$4:$G$500,"JAN-2026")</f>
        <v>409.5</v>
      </c>
      <c r="F20" s="42" t="n">
        <f aca="false">SUMIFS(Receipts!$B$4:$B$600,Receipts!$G$4:$G$600,$A20,Receipts!$E$4:$E$600,"JAN-2026")</f>
        <v>204.75</v>
      </c>
      <c r="G20" s="42" t="n">
        <f aca="false">$E20-$F20</f>
        <v>204.75</v>
      </c>
      <c r="H20" s="39" t="str">
        <f aca="false">IF($E20=0,"no charge",IF($F20&lt;=0,"unpaid",IF(ABS($G20)&lt;=0.5,"settled",IF($G20&gt;0,"part paid","overpaid"))))</f>
        <v>part paid</v>
      </c>
      <c r="I20" s="43" t="n">
        <f aca="false">COUNTIFS(Receipts!$G$4:$G$600,$A20,Receipts!$E$4:$E$600,"JAN-2026")</f>
        <v>1</v>
      </c>
      <c r="J20" s="44" t="n">
        <v>46101</v>
      </c>
      <c r="K20" s="43" t="n">
        <f aca="false">IF($G20&gt;0.5,$B$2-Terms!$G$5,"")</f>
        <v>260</v>
      </c>
      <c r="L20" s="40" t="s">
        <v>607</v>
      </c>
      <c r="M20" s="40" t="s">
        <v>822</v>
      </c>
    </row>
    <row r="21" customFormat="false" ht="15" hidden="false" customHeight="false" outlineLevel="0" collapsed="false">
      <c r="A21" s="28" t="s">
        <v>119</v>
      </c>
      <c r="B21" s="28" t="s">
        <v>120</v>
      </c>
      <c r="C21" s="28" t="n">
        <v>1</v>
      </c>
      <c r="D21" s="28" t="s">
        <v>121</v>
      </c>
      <c r="E21" s="48" t="n">
        <f aca="false">SUMIFS(Children!$R$4:$R$500,Children!$B$4:$B$500,$A21,Children!$F$4:$F$500,"Enrolled",Children!$G$4:$G$500,"JAN-2026")</f>
        <v>409.5</v>
      </c>
      <c r="F21" s="48" t="n">
        <f aca="false">SUMIFS(Receipts!$B$4:$B$600,Receipts!$G$4:$G$600,$A21,Receipts!$E$4:$E$600,"JAN-2026")</f>
        <v>409.5</v>
      </c>
      <c r="G21" s="48" t="n">
        <f aca="false">$E21-$F21</f>
        <v>0</v>
      </c>
      <c r="H21" s="29" t="str">
        <f aca="false">IF($E21=0,"no charge",IF($F21&lt;=0,"unpaid",IF(ABS($G21)&lt;=0.5,"settled",IF($G21&gt;0,"part paid","overpaid"))))</f>
        <v>settled</v>
      </c>
      <c r="I21" s="49" t="n">
        <f aca="false">COUNTIFS(Receipts!$G$4:$G$600,$A21,Receipts!$E$4:$E$600,"JAN-2026")</f>
        <v>1</v>
      </c>
      <c r="J21" s="50" t="n">
        <v>46103</v>
      </c>
      <c r="K21" s="49" t="str">
        <f aca="false">IF($G21&gt;0.5,$B$2-Terms!$G$5,"")</f>
        <v/>
      </c>
      <c r="L21" s="30" t="s">
        <v>121</v>
      </c>
      <c r="M21" s="30"/>
    </row>
    <row r="22" customFormat="false" ht="15" hidden="false" customHeight="false" outlineLevel="0" collapsed="false">
      <c r="A22" s="38" t="s">
        <v>126</v>
      </c>
      <c r="B22" s="38" t="s">
        <v>127</v>
      </c>
      <c r="C22" s="38" t="n">
        <v>1</v>
      </c>
      <c r="D22" s="38" t="s">
        <v>128</v>
      </c>
      <c r="E22" s="42" t="n">
        <f aca="false">SUMIFS(Children!$R$4:$R$500,Children!$B$4:$B$500,$A22,Children!$F$4:$F$500,"Enrolled",Children!$G$4:$G$500,"JAN-2026")</f>
        <v>434.5</v>
      </c>
      <c r="F22" s="42" t="n">
        <f aca="false">SUMIFS(Receipts!$B$4:$B$600,Receipts!$G$4:$G$600,$A22,Receipts!$E$4:$E$600,"JAN-2026")</f>
        <v>434.5</v>
      </c>
      <c r="G22" s="42" t="n">
        <f aca="false">$E22-$F22</f>
        <v>0</v>
      </c>
      <c r="H22" s="39" t="str">
        <f aca="false">IF($E22=0,"no charge",IF($F22&lt;=0,"unpaid",IF(ABS($G22)&lt;=0.5,"settled",IF($G22&gt;0,"part paid","overpaid"))))</f>
        <v>settled</v>
      </c>
      <c r="I22" s="43" t="n">
        <f aca="false">COUNTIFS(Receipts!$G$4:$G$600,$A22,Receipts!$E$4:$E$600,"JAN-2026")</f>
        <v>1</v>
      </c>
      <c r="J22" s="44" t="n">
        <v>46129</v>
      </c>
      <c r="K22" s="43" t="str">
        <f aca="false">IF($G22&gt;0.5,$B$2-Terms!$G$5,"")</f>
        <v/>
      </c>
      <c r="L22" s="40" t="s">
        <v>128</v>
      </c>
      <c r="M22" s="40" t="s">
        <v>813</v>
      </c>
    </row>
    <row r="23" customFormat="false" ht="15" hidden="false" customHeight="false" outlineLevel="0" collapsed="false">
      <c r="A23" s="28" t="s">
        <v>130</v>
      </c>
      <c r="B23" s="28" t="s">
        <v>131</v>
      </c>
      <c r="C23" s="28" t="n">
        <v>1</v>
      </c>
      <c r="D23" s="28" t="s">
        <v>132</v>
      </c>
      <c r="E23" s="48" t="n">
        <f aca="false">SUMIFS(Children!$R$4:$R$500,Children!$B$4:$B$500,$A23,Children!$F$4:$F$500,"Enrolled",Children!$G$4:$G$500,"JAN-2026")</f>
        <v>434.5</v>
      </c>
      <c r="F23" s="48" t="n">
        <f aca="false">SUMIFS(Receipts!$B$4:$B$600,Receipts!$G$4:$G$600,$A23,Receipts!$E$4:$E$600,"JAN-2026")</f>
        <v>434.5</v>
      </c>
      <c r="G23" s="48" t="n">
        <f aca="false">$E23-$F23</f>
        <v>0</v>
      </c>
      <c r="H23" s="29" t="str">
        <f aca="false">IF($E23=0,"no charge",IF($F23&lt;=0,"unpaid",IF(ABS($G23)&lt;=0.5,"settled",IF($G23&gt;0,"part paid","overpaid"))))</f>
        <v>settled</v>
      </c>
      <c r="I23" s="49" t="n">
        <f aca="false">COUNTIFS(Receipts!$G$4:$G$600,$A23,Receipts!$E$4:$E$600,"JAN-2026")</f>
        <v>1</v>
      </c>
      <c r="J23" s="50" t="n">
        <v>46044</v>
      </c>
      <c r="K23" s="49" t="str">
        <f aca="false">IF($G23&gt;0.5,$B$2-Terms!$G$5,"")</f>
        <v/>
      </c>
      <c r="L23" s="30" t="s">
        <v>565</v>
      </c>
      <c r="M23" s="30"/>
    </row>
    <row r="24" customFormat="false" ht="15" hidden="false" customHeight="false" outlineLevel="0" collapsed="false">
      <c r="A24" s="28" t="s">
        <v>133</v>
      </c>
      <c r="B24" s="28" t="s">
        <v>134</v>
      </c>
      <c r="C24" s="28" t="n">
        <v>2</v>
      </c>
      <c r="D24" s="28" t="s">
        <v>135</v>
      </c>
      <c r="E24" s="48" t="n">
        <f aca="false">SUMIFS(Children!$R$4:$R$500,Children!$B$4:$B$500,$A24,Children!$F$4:$F$500,"Enrolled",Children!$G$4:$G$500,"JAN-2026")</f>
        <v>749.5</v>
      </c>
      <c r="F24" s="48" t="n">
        <f aca="false">SUMIFS(Receipts!$B$4:$B$600,Receipts!$G$4:$G$600,$A24,Receipts!$E$4:$E$600,"JAN-2026")</f>
        <v>749.5</v>
      </c>
      <c r="G24" s="48" t="n">
        <f aca="false">$E24-$F24</f>
        <v>0</v>
      </c>
      <c r="H24" s="29" t="str">
        <f aca="false">IF($E24=0,"no charge",IF($F24&lt;=0,"unpaid",IF(ABS($G24)&lt;=0.5,"settled",IF($G24&gt;0,"part paid","overpaid"))))</f>
        <v>settled</v>
      </c>
      <c r="I24" s="49" t="n">
        <f aca="false">COUNTIFS(Receipts!$G$4:$G$600,$A24,Receipts!$E$4:$E$600,"JAN-2026")</f>
        <v>1</v>
      </c>
      <c r="J24" s="50" t="n">
        <v>46116</v>
      </c>
      <c r="K24" s="49" t="str">
        <f aca="false">IF($G24&gt;0.5,$B$2-Terms!$G$5,"")</f>
        <v/>
      </c>
      <c r="L24" s="30" t="s">
        <v>135</v>
      </c>
      <c r="M24" s="30"/>
    </row>
    <row r="25" customFormat="false" ht="15" hidden="false" customHeight="false" outlineLevel="0" collapsed="false">
      <c r="A25" s="28" t="s">
        <v>137</v>
      </c>
      <c r="B25" s="28" t="s">
        <v>138</v>
      </c>
      <c r="C25" s="28" t="n">
        <v>2</v>
      </c>
      <c r="D25" s="28" t="s">
        <v>139</v>
      </c>
      <c r="E25" s="48" t="n">
        <f aca="false">SUMIFS(Children!$R$4:$R$500,Children!$B$4:$B$500,$A25,Children!$F$4:$F$500,"Enrolled",Children!$G$4:$G$500,"JAN-2026")</f>
        <v>774.5</v>
      </c>
      <c r="F25" s="48" t="n">
        <f aca="false">SUMIFS(Receipts!$B$4:$B$600,Receipts!$G$4:$G$600,$A25,Receipts!$E$4:$E$600,"JAN-2026")</f>
        <v>774.5</v>
      </c>
      <c r="G25" s="48" t="n">
        <f aca="false">$E25-$F25</f>
        <v>0</v>
      </c>
      <c r="H25" s="29" t="str">
        <f aca="false">IF($E25=0,"no charge",IF($F25&lt;=0,"unpaid",IF(ABS($G25)&lt;=0.5,"settled",IF($G25&gt;0,"part paid","overpaid"))))</f>
        <v>settled</v>
      </c>
      <c r="I25" s="49" t="n">
        <f aca="false">COUNTIFS(Receipts!$G$4:$G$600,$A25,Receipts!$E$4:$E$600,"JAN-2026")</f>
        <v>2</v>
      </c>
      <c r="J25" s="50" t="n">
        <v>46182</v>
      </c>
      <c r="K25" s="49" t="str">
        <f aca="false">IF($G25&gt;0.5,$B$2-Terms!$G$5,"")</f>
        <v/>
      </c>
      <c r="L25" s="30" t="s">
        <v>823</v>
      </c>
      <c r="M25" s="30"/>
    </row>
    <row r="26" customFormat="false" ht="15" hidden="false" customHeight="false" outlineLevel="0" collapsed="false">
      <c r="A26" s="28" t="s">
        <v>152</v>
      </c>
      <c r="B26" s="28" t="s">
        <v>153</v>
      </c>
      <c r="C26" s="28" t="n">
        <v>2</v>
      </c>
      <c r="D26" s="28" t="s">
        <v>154</v>
      </c>
      <c r="E26" s="48" t="n">
        <f aca="false">SUMIFS(Children!$R$4:$R$500,Children!$B$4:$B$500,$A26,Children!$F$4:$F$500,"Enrolled",Children!$G$4:$G$500,"JAN-2026")</f>
        <v>719.5</v>
      </c>
      <c r="F26" s="48" t="n">
        <f aca="false">SUMIFS(Receipts!$B$4:$B$600,Receipts!$G$4:$G$600,$A26,Receipts!$E$4:$E$600,"JAN-2026")</f>
        <v>719.5</v>
      </c>
      <c r="G26" s="48" t="n">
        <f aca="false">$E26-$F26</f>
        <v>0</v>
      </c>
      <c r="H26" s="29" t="str">
        <f aca="false">IF($E26=0,"no charge",IF($F26&lt;=0,"unpaid",IF(ABS($G26)&lt;=0.5,"settled",IF($G26&gt;0,"part paid","overpaid"))))</f>
        <v>settled</v>
      </c>
      <c r="I26" s="49" t="n">
        <f aca="false">COUNTIFS(Receipts!$G$4:$G$600,$A26,Receipts!$E$4:$E$600,"JAN-2026")</f>
        <v>1</v>
      </c>
      <c r="J26" s="50" t="n">
        <v>46065</v>
      </c>
      <c r="K26" s="49" t="str">
        <f aca="false">IF($G26&gt;0.5,$B$2-Terms!$G$5,"")</f>
        <v/>
      </c>
      <c r="L26" s="30" t="s">
        <v>616</v>
      </c>
      <c r="M26" s="30"/>
    </row>
    <row r="27" customFormat="false" ht="15" hidden="false" customHeight="false" outlineLevel="0" collapsed="false">
      <c r="A27" s="28" t="s">
        <v>156</v>
      </c>
      <c r="B27" s="28" t="s">
        <v>157</v>
      </c>
      <c r="C27" s="28" t="n">
        <v>1</v>
      </c>
      <c r="D27" s="28" t="s">
        <v>158</v>
      </c>
      <c r="E27" s="48" t="n">
        <f aca="false">SUMIFS(Children!$R$4:$R$500,Children!$B$4:$B$500,$A27,Children!$F$4:$F$500,"Enrolled",Children!$G$4:$G$500,"JAN-2026")</f>
        <v>434.5</v>
      </c>
      <c r="F27" s="48" t="n">
        <f aca="false">SUMIFS(Receipts!$B$4:$B$600,Receipts!$G$4:$G$600,$A27,Receipts!$E$4:$E$600,"JAN-2026")</f>
        <v>434.5</v>
      </c>
      <c r="G27" s="48" t="n">
        <f aca="false">$E27-$F27</f>
        <v>0</v>
      </c>
      <c r="H27" s="29" t="str">
        <f aca="false">IF($E27=0,"no charge",IF($F27&lt;=0,"unpaid",IF(ABS($G27)&lt;=0.5,"settled",IF($G27&gt;0,"part paid","overpaid"))))</f>
        <v>settled</v>
      </c>
      <c r="I27" s="49" t="n">
        <f aca="false">COUNTIFS(Receipts!$G$4:$G$600,$A27,Receipts!$E$4:$E$600,"JAN-2026")</f>
        <v>1</v>
      </c>
      <c r="J27" s="50" t="n">
        <v>46138</v>
      </c>
      <c r="K27" s="49" t="str">
        <f aca="false">IF($G27&gt;0.5,$B$2-Terms!$G$5,"")</f>
        <v/>
      </c>
      <c r="L27" s="30" t="s">
        <v>757</v>
      </c>
      <c r="M27" s="30"/>
    </row>
    <row r="28" customFormat="false" ht="15" hidden="false" customHeight="false" outlineLevel="0" collapsed="false">
      <c r="A28" s="28" t="s">
        <v>159</v>
      </c>
      <c r="B28" s="28" t="s">
        <v>160</v>
      </c>
      <c r="C28" s="28" t="n">
        <v>2</v>
      </c>
      <c r="D28" s="28" t="s">
        <v>161</v>
      </c>
      <c r="E28" s="48" t="n">
        <f aca="false">SUMIFS(Children!$R$4:$R$500,Children!$B$4:$B$500,$A28,Children!$F$4:$F$500,"Enrolled",Children!$G$4:$G$500,"JAN-2026")</f>
        <v>749.5</v>
      </c>
      <c r="F28" s="48" t="n">
        <f aca="false">SUMIFS(Receipts!$B$4:$B$600,Receipts!$G$4:$G$600,$A28,Receipts!$E$4:$E$600,"JAN-2026")</f>
        <v>749.5</v>
      </c>
      <c r="G28" s="48" t="n">
        <f aca="false">$E28-$F28</f>
        <v>0</v>
      </c>
      <c r="H28" s="29" t="str">
        <f aca="false">IF($E28=0,"no charge",IF($F28&lt;=0,"unpaid",IF(ABS($G28)&lt;=0.5,"settled",IF($G28&gt;0,"part paid","overpaid"))))</f>
        <v>settled</v>
      </c>
      <c r="I28" s="49" t="n">
        <f aca="false">COUNTIFS(Receipts!$G$4:$G$600,$A28,Receipts!$E$4:$E$600,"JAN-2026")</f>
        <v>2</v>
      </c>
      <c r="J28" s="50" t="n">
        <v>46132</v>
      </c>
      <c r="K28" s="49" t="str">
        <f aca="false">IF($G28&gt;0.5,$B$2-Terms!$G$5,"")</f>
        <v/>
      </c>
      <c r="L28" s="30" t="s">
        <v>824</v>
      </c>
      <c r="M28" s="30"/>
    </row>
    <row r="29" customFormat="false" ht="15" hidden="false" customHeight="false" outlineLevel="0" collapsed="false">
      <c r="A29" s="28" t="s">
        <v>163</v>
      </c>
      <c r="B29" s="28" t="s">
        <v>164</v>
      </c>
      <c r="C29" s="28" t="n">
        <v>4</v>
      </c>
      <c r="D29" s="28" t="s">
        <v>165</v>
      </c>
      <c r="E29" s="48" t="n">
        <f aca="false">SUMIFS(Children!$R$4:$R$500,Children!$B$4:$B$500,$A29,Children!$F$4:$F$500,"Enrolled",Children!$G$4:$G$500,"JAN-2026")</f>
        <v>1249.12</v>
      </c>
      <c r="F29" s="48" t="n">
        <f aca="false">SUMIFS(Receipts!$B$4:$B$600,Receipts!$G$4:$G$600,$A29,Receipts!$E$4:$E$600,"JAN-2026")</f>
        <v>1249.12</v>
      </c>
      <c r="G29" s="48" t="n">
        <f aca="false">$E29-$F29</f>
        <v>0</v>
      </c>
      <c r="H29" s="29" t="str">
        <f aca="false">IF($E29=0,"no charge",IF($F29&lt;=0,"unpaid",IF(ABS($G29)&lt;=0.5,"settled",IF($G29&gt;0,"part paid","overpaid"))))</f>
        <v>settled</v>
      </c>
      <c r="I29" s="49" t="n">
        <f aca="false">COUNTIFS(Receipts!$G$4:$G$600,$A29,Receipts!$E$4:$E$600,"JAN-2026")</f>
        <v>1</v>
      </c>
      <c r="J29" s="50" t="n">
        <v>46133</v>
      </c>
      <c r="K29" s="49" t="str">
        <f aca="false">IF($G29&gt;0.5,$B$2-Terms!$G$5,"")</f>
        <v/>
      </c>
      <c r="L29" s="30" t="s">
        <v>737</v>
      </c>
      <c r="M29" s="30"/>
    </row>
    <row r="30" customFormat="false" ht="15" hidden="false" customHeight="false" outlineLevel="0" collapsed="false">
      <c r="A30" s="28" t="s">
        <v>166</v>
      </c>
      <c r="B30" s="28" t="s">
        <v>167</v>
      </c>
      <c r="C30" s="28" t="n">
        <v>3</v>
      </c>
      <c r="D30" s="28" t="s">
        <v>168</v>
      </c>
      <c r="E30" s="48" t="n">
        <f aca="false">SUMIFS(Children!$R$4:$R$500,Children!$B$4:$B$500,$A30,Children!$F$4:$F$500,"Enrolled",Children!$G$4:$G$500,"JAN-2026")</f>
        <v>1041</v>
      </c>
      <c r="F30" s="48" t="n">
        <f aca="false">SUMIFS(Receipts!$B$4:$B$600,Receipts!$G$4:$G$600,$A30,Receipts!$E$4:$E$600,"JAN-2026")</f>
        <v>1041</v>
      </c>
      <c r="G30" s="48" t="n">
        <f aca="false">$E30-$F30</f>
        <v>0</v>
      </c>
      <c r="H30" s="29" t="str">
        <f aca="false">IF($E30=0,"no charge",IF($F30&lt;=0,"unpaid",IF(ABS($G30)&lt;=0.5,"settled",IF($G30&gt;0,"part paid","overpaid"))))</f>
        <v>settled</v>
      </c>
      <c r="I30" s="49" t="n">
        <f aca="false">COUNTIFS(Receipts!$G$4:$G$600,$A30,Receipts!$E$4:$E$600,"JAN-2026")</f>
        <v>1</v>
      </c>
      <c r="J30" s="50" t="n">
        <v>46137</v>
      </c>
      <c r="K30" s="49" t="str">
        <f aca="false">IF($G30&gt;0.5,$B$2-Terms!$G$5,"")</f>
        <v/>
      </c>
      <c r="L30" s="30" t="s">
        <v>751</v>
      </c>
      <c r="M30" s="30"/>
    </row>
    <row r="31" customFormat="false" ht="15" hidden="false" customHeight="false" outlineLevel="0" collapsed="false">
      <c r="A31" s="28" t="s">
        <v>169</v>
      </c>
      <c r="B31" s="28" t="s">
        <v>170</v>
      </c>
      <c r="C31" s="28" t="n">
        <v>2</v>
      </c>
      <c r="D31" s="28" t="s">
        <v>171</v>
      </c>
      <c r="E31" s="48" t="n">
        <f aca="false">SUMIFS(Children!$R$4:$R$500,Children!$B$4:$B$500,$A31,Children!$F$4:$F$500,"Enrolled",Children!$G$4:$G$500,"JAN-2026")</f>
        <v>774.5</v>
      </c>
      <c r="F31" s="48" t="n">
        <f aca="false">SUMIFS(Receipts!$B$4:$B$600,Receipts!$G$4:$G$600,$A31,Receipts!$E$4:$E$600,"JAN-2026")</f>
        <v>774.5</v>
      </c>
      <c r="G31" s="48" t="n">
        <f aca="false">$E31-$F31</f>
        <v>0</v>
      </c>
      <c r="H31" s="29" t="str">
        <f aca="false">IF($E31=0,"no charge",IF($F31&lt;=0,"unpaid",IF(ABS($G31)&lt;=0.5,"settled",IF($G31&gt;0,"part paid","overpaid"))))</f>
        <v>settled</v>
      </c>
      <c r="I31" s="49" t="n">
        <f aca="false">COUNTIFS(Receipts!$G$4:$G$600,$A31,Receipts!$E$4:$E$600,"JAN-2026")</f>
        <v>1</v>
      </c>
      <c r="J31" s="50" t="n">
        <v>46090</v>
      </c>
      <c r="K31" s="49" t="str">
        <f aca="false">IF($G31&gt;0.5,$B$2-Terms!$G$5,"")</f>
        <v/>
      </c>
      <c r="L31" s="30" t="s">
        <v>171</v>
      </c>
      <c r="M31" s="30"/>
    </row>
    <row r="32" customFormat="false" ht="15" hidden="false" customHeight="false" outlineLevel="0" collapsed="false">
      <c r="A32" s="28" t="s">
        <v>177</v>
      </c>
      <c r="B32" s="28" t="s">
        <v>178</v>
      </c>
      <c r="C32" s="28" t="n">
        <v>1</v>
      </c>
      <c r="D32" s="28" t="s">
        <v>179</v>
      </c>
      <c r="E32" s="48" t="n">
        <f aca="false">SUMIFS(Children!$R$4:$R$500,Children!$B$4:$B$500,$A32,Children!$F$4:$F$500,"Enrolled",Children!$G$4:$G$500,"JAN-2026")</f>
        <v>409.5</v>
      </c>
      <c r="F32" s="48" t="n">
        <f aca="false">SUMIFS(Receipts!$B$4:$B$600,Receipts!$G$4:$G$600,$A32,Receipts!$E$4:$E$600,"JAN-2026")</f>
        <v>409.5</v>
      </c>
      <c r="G32" s="48" t="n">
        <f aca="false">$E32-$F32</f>
        <v>0</v>
      </c>
      <c r="H32" s="29" t="str">
        <f aca="false">IF($E32=0,"no charge",IF($F32&lt;=0,"unpaid",IF(ABS($G32)&lt;=0.5,"settled",IF($G32&gt;0,"part paid","overpaid"))))</f>
        <v>settled</v>
      </c>
      <c r="I32" s="49" t="n">
        <f aca="false">COUNTIFS(Receipts!$G$4:$G$600,$A32,Receipts!$E$4:$E$600,"JAN-2026")</f>
        <v>1</v>
      </c>
      <c r="J32" s="50" t="n">
        <v>46139</v>
      </c>
      <c r="K32" s="49" t="str">
        <f aca="false">IF($G32&gt;0.5,$B$2-Terms!$G$5,"")</f>
        <v/>
      </c>
      <c r="L32" s="30" t="s">
        <v>763</v>
      </c>
      <c r="M32" s="30"/>
    </row>
    <row r="33" customFormat="false" ht="15" hidden="false" customHeight="false" outlineLevel="0" collapsed="false">
      <c r="A33" s="28" t="s">
        <v>181</v>
      </c>
      <c r="B33" s="28" t="s">
        <v>182</v>
      </c>
      <c r="C33" s="28" t="n">
        <v>1</v>
      </c>
      <c r="D33" s="28" t="s">
        <v>183</v>
      </c>
      <c r="E33" s="48" t="n">
        <f aca="false">SUMIFS(Children!$R$4:$R$500,Children!$B$4:$B$500,$A33,Children!$F$4:$F$500,"Enrolled",Children!$G$4:$G$500,"JAN-2026")</f>
        <v>434.5</v>
      </c>
      <c r="F33" s="48" t="n">
        <f aca="false">SUMIFS(Receipts!$B$4:$B$600,Receipts!$G$4:$G$600,$A33,Receipts!$E$4:$E$600,"JAN-2026")</f>
        <v>434.5</v>
      </c>
      <c r="G33" s="48" t="n">
        <f aca="false">$E33-$F33</f>
        <v>0</v>
      </c>
      <c r="H33" s="29" t="str">
        <f aca="false">IF($E33=0,"no charge",IF($F33&lt;=0,"unpaid",IF(ABS($G33)&lt;=0.5,"settled",IF($G33&gt;0,"part paid","overpaid"))))</f>
        <v>settled</v>
      </c>
      <c r="I33" s="49" t="n">
        <f aca="false">COUNTIFS(Receipts!$G$4:$G$600,$A33,Receipts!$E$4:$E$600,"JAN-2026")</f>
        <v>2</v>
      </c>
      <c r="J33" s="50" t="n">
        <v>46141</v>
      </c>
      <c r="K33" s="49" t="str">
        <f aca="false">IF($G33&gt;0.5,$B$2-Terms!$G$5,"")</f>
        <v/>
      </c>
      <c r="L33" s="30" t="s">
        <v>825</v>
      </c>
      <c r="M33" s="30"/>
    </row>
    <row r="34" customFormat="false" ht="15" hidden="false" customHeight="false" outlineLevel="0" collapsed="false">
      <c r="A34" s="28" t="s">
        <v>185</v>
      </c>
      <c r="B34" s="28" t="s">
        <v>186</v>
      </c>
      <c r="C34" s="28" t="n">
        <v>3</v>
      </c>
      <c r="D34" s="28" t="s">
        <v>187</v>
      </c>
      <c r="E34" s="48" t="n">
        <f aca="false">SUMIFS(Children!$R$4:$R$500,Children!$B$4:$B$500,$A34,Children!$F$4:$F$500,"Enrolled",Children!$G$4:$G$500,"JAN-2026")</f>
        <v>1041</v>
      </c>
      <c r="F34" s="48" t="n">
        <f aca="false">SUMIFS(Receipts!$B$4:$B$600,Receipts!$G$4:$G$600,$A34,Receipts!$E$4:$E$600,"JAN-2026")</f>
        <v>1041</v>
      </c>
      <c r="G34" s="48" t="n">
        <f aca="false">$E34-$F34</f>
        <v>0</v>
      </c>
      <c r="H34" s="29" t="str">
        <f aca="false">IF($E34=0,"no charge",IF($F34&lt;=0,"unpaid",IF(ABS($G34)&lt;=0.5,"settled",IF($G34&gt;0,"part paid","overpaid"))))</f>
        <v>settled</v>
      </c>
      <c r="I34" s="49" t="n">
        <f aca="false">COUNTIFS(Receipts!$G$4:$G$600,$A34,Receipts!$E$4:$E$600,"JAN-2026")</f>
        <v>1</v>
      </c>
      <c r="J34" s="50" t="n">
        <v>46053</v>
      </c>
      <c r="K34" s="49" t="str">
        <f aca="false">IF($G34&gt;0.5,$B$2-Terms!$G$5,"")</f>
        <v/>
      </c>
      <c r="L34" s="30" t="s">
        <v>187</v>
      </c>
      <c r="M34" s="30"/>
    </row>
    <row r="35" customFormat="false" ht="15" hidden="false" customHeight="false" outlineLevel="0" collapsed="false">
      <c r="A35" s="28" t="s">
        <v>192</v>
      </c>
      <c r="B35" s="28" t="s">
        <v>193</v>
      </c>
      <c r="C35" s="28" t="n">
        <v>1</v>
      </c>
      <c r="D35" s="28" t="s">
        <v>194</v>
      </c>
      <c r="E35" s="48" t="n">
        <f aca="false">SUMIFS(Children!$R$4:$R$500,Children!$B$4:$B$500,$A35,Children!$F$4:$F$500,"Enrolled",Children!$G$4:$G$500,"JAN-2026")</f>
        <v>434.5</v>
      </c>
      <c r="F35" s="48" t="n">
        <f aca="false">SUMIFS(Receipts!$B$4:$B$600,Receipts!$G$4:$G$600,$A35,Receipts!$E$4:$E$600,"JAN-2026")</f>
        <v>434.5</v>
      </c>
      <c r="G35" s="48" t="n">
        <f aca="false">$E35-$F35</f>
        <v>0</v>
      </c>
      <c r="H35" s="29" t="str">
        <f aca="false">IF($E35=0,"no charge",IF($F35&lt;=0,"unpaid",IF(ABS($G35)&lt;=0.5,"settled",IF($G35&gt;0,"part paid","overpaid"))))</f>
        <v>settled</v>
      </c>
      <c r="I35" s="49" t="n">
        <f aca="false">COUNTIFS(Receipts!$G$4:$G$600,$A35,Receipts!$E$4:$E$600,"JAN-2026")</f>
        <v>1</v>
      </c>
      <c r="J35" s="50" t="n">
        <v>46057</v>
      </c>
      <c r="K35" s="49" t="str">
        <f aca="false">IF($G35&gt;0.5,$B$2-Terms!$G$5,"")</f>
        <v/>
      </c>
      <c r="L35" s="30" t="s">
        <v>589</v>
      </c>
      <c r="M35" s="30"/>
    </row>
    <row r="36" customFormat="false" ht="15" hidden="false" customHeight="false" outlineLevel="0" collapsed="false">
      <c r="A36" s="28" t="s">
        <v>196</v>
      </c>
      <c r="B36" s="28" t="s">
        <v>197</v>
      </c>
      <c r="C36" s="28" t="n">
        <v>1</v>
      </c>
      <c r="D36" s="28" t="s">
        <v>198</v>
      </c>
      <c r="E36" s="48" t="n">
        <f aca="false">SUMIFS(Children!$R$4:$R$500,Children!$B$4:$B$500,$A36,Children!$F$4:$F$500,"Enrolled",Children!$G$4:$G$500,"JAN-2026")</f>
        <v>434.5</v>
      </c>
      <c r="F36" s="48" t="n">
        <f aca="false">SUMIFS(Receipts!$B$4:$B$600,Receipts!$G$4:$G$600,$A36,Receipts!$E$4:$E$600,"JAN-2026")</f>
        <v>434.5</v>
      </c>
      <c r="G36" s="48" t="n">
        <f aca="false">$E36-$F36</f>
        <v>0</v>
      </c>
      <c r="H36" s="29" t="str">
        <f aca="false">IF($E36=0,"no charge",IF($F36&lt;=0,"unpaid",IF(ABS($G36)&lt;=0.5,"settled",IF($G36&gt;0,"part paid","overpaid"))))</f>
        <v>settled</v>
      </c>
      <c r="I36" s="49" t="n">
        <f aca="false">COUNTIFS(Receipts!$G$4:$G$600,$A36,Receipts!$E$4:$E$600,"JAN-2026")</f>
        <v>2</v>
      </c>
      <c r="J36" s="50" t="n">
        <v>46060</v>
      </c>
      <c r="K36" s="49" t="str">
        <f aca="false">IF($G36&gt;0.5,$B$2-Terms!$G$5,"")</f>
        <v/>
      </c>
      <c r="L36" s="30" t="s">
        <v>826</v>
      </c>
      <c r="M36" s="30"/>
    </row>
    <row r="37" customFormat="false" ht="15" hidden="false" customHeight="false" outlineLevel="0" collapsed="false">
      <c r="A37" s="28" t="s">
        <v>200</v>
      </c>
      <c r="B37" s="28" t="s">
        <v>201</v>
      </c>
      <c r="C37" s="28" t="n">
        <v>1</v>
      </c>
      <c r="D37" s="28" t="s">
        <v>202</v>
      </c>
      <c r="E37" s="48" t="n">
        <f aca="false">SUMIFS(Children!$R$4:$R$500,Children!$B$4:$B$500,$A37,Children!$F$4:$F$500,"Enrolled",Children!$G$4:$G$500,"JAN-2026")</f>
        <v>434.5</v>
      </c>
      <c r="F37" s="48" t="n">
        <f aca="false">SUMIFS(Receipts!$B$4:$B$600,Receipts!$G$4:$G$600,$A37,Receipts!$E$4:$E$600,"JAN-2026")</f>
        <v>434.5</v>
      </c>
      <c r="G37" s="48" t="n">
        <f aca="false">$E37-$F37</f>
        <v>0</v>
      </c>
      <c r="H37" s="29" t="str">
        <f aca="false">IF($E37=0,"no charge",IF($F37&lt;=0,"unpaid",IF(ABS($G37)&lt;=0.5,"settled",IF($G37&gt;0,"part paid","overpaid"))))</f>
        <v>settled</v>
      </c>
      <c r="I37" s="49" t="n">
        <f aca="false">COUNTIFS(Receipts!$G$4:$G$600,$A37,Receipts!$E$4:$E$600,"JAN-2026")</f>
        <v>1</v>
      </c>
      <c r="J37" s="50" t="n">
        <v>46034</v>
      </c>
      <c r="K37" s="49" t="str">
        <f aca="false">IF($G37&gt;0.5,$B$2-Terms!$G$5,"")</f>
        <v/>
      </c>
      <c r="L37" s="30" t="s">
        <v>545</v>
      </c>
      <c r="M37" s="30"/>
    </row>
    <row r="38" customFormat="false" ht="15" hidden="false" customHeight="false" outlineLevel="0" collapsed="false">
      <c r="A38" s="28" t="s">
        <v>207</v>
      </c>
      <c r="B38" s="28" t="s">
        <v>208</v>
      </c>
      <c r="C38" s="28" t="n">
        <v>1</v>
      </c>
      <c r="D38" s="28" t="s">
        <v>209</v>
      </c>
      <c r="E38" s="48" t="n">
        <f aca="false">SUMIFS(Children!$R$4:$R$500,Children!$B$4:$B$500,$A38,Children!$F$4:$F$500,"Enrolled",Children!$G$4:$G$500,"JAN-2026")</f>
        <v>434.5</v>
      </c>
      <c r="F38" s="48" t="n">
        <f aca="false">SUMIFS(Receipts!$B$4:$B$600,Receipts!$G$4:$G$600,$A38,Receipts!$E$4:$E$600,"JAN-2026")</f>
        <v>434.5</v>
      </c>
      <c r="G38" s="48" t="n">
        <f aca="false">$E38-$F38</f>
        <v>0</v>
      </c>
      <c r="H38" s="29" t="str">
        <f aca="false">IF($E38=0,"no charge",IF($F38&lt;=0,"unpaid",IF(ABS($G38)&lt;=0.5,"settled",IF($G38&gt;0,"part paid","overpaid"))))</f>
        <v>settled</v>
      </c>
      <c r="I38" s="49" t="n">
        <f aca="false">COUNTIFS(Receipts!$G$4:$G$600,$A38,Receipts!$E$4:$E$600,"JAN-2026")</f>
        <v>2</v>
      </c>
      <c r="J38" s="50" t="n">
        <v>46118</v>
      </c>
      <c r="K38" s="49" t="str">
        <f aca="false">IF($G38&gt;0.5,$B$2-Terms!$G$5,"")</f>
        <v/>
      </c>
      <c r="L38" s="30" t="s">
        <v>827</v>
      </c>
      <c r="M38" s="30"/>
    </row>
    <row r="39" customFormat="false" ht="15" hidden="false" customHeight="false" outlineLevel="0" collapsed="false">
      <c r="A39" s="28" t="s">
        <v>211</v>
      </c>
      <c r="B39" s="28" t="s">
        <v>212</v>
      </c>
      <c r="C39" s="28" t="n">
        <v>1</v>
      </c>
      <c r="D39" s="28" t="s">
        <v>213</v>
      </c>
      <c r="E39" s="48" t="n">
        <f aca="false">SUMIFS(Children!$R$4:$R$500,Children!$B$4:$B$500,$A39,Children!$F$4:$F$500,"Enrolled",Children!$G$4:$G$500,"JAN-2026")</f>
        <v>434.5</v>
      </c>
      <c r="F39" s="48" t="n">
        <f aca="false">SUMIFS(Receipts!$B$4:$B$600,Receipts!$G$4:$G$600,$A39,Receipts!$E$4:$E$600,"JAN-2026")</f>
        <v>434.5</v>
      </c>
      <c r="G39" s="48" t="n">
        <f aca="false">$E39-$F39</f>
        <v>0</v>
      </c>
      <c r="H39" s="29" t="str">
        <f aca="false">IF($E39=0,"no charge",IF($F39&lt;=0,"unpaid",IF(ABS($G39)&lt;=0.5,"settled",IF($G39&gt;0,"part paid","overpaid"))))</f>
        <v>settled</v>
      </c>
      <c r="I39" s="49" t="n">
        <f aca="false">COUNTIFS(Receipts!$G$4:$G$600,$A39,Receipts!$E$4:$E$600,"JAN-2026")</f>
        <v>2</v>
      </c>
      <c r="J39" s="50" t="n">
        <v>46085</v>
      </c>
      <c r="K39" s="49" t="str">
        <f aca="false">IF($G39&gt;0.5,$B$2-Terms!$G$5,"")</f>
        <v/>
      </c>
      <c r="L39" s="30" t="s">
        <v>828</v>
      </c>
      <c r="M39" s="30"/>
    </row>
    <row r="40" customFormat="false" ht="15" hidden="false" customHeight="false" outlineLevel="0" collapsed="false">
      <c r="A40" s="28" t="s">
        <v>214</v>
      </c>
      <c r="B40" s="28" t="s">
        <v>215</v>
      </c>
      <c r="C40" s="28" t="n">
        <v>3</v>
      </c>
      <c r="D40" s="28" t="s">
        <v>216</v>
      </c>
      <c r="E40" s="48" t="n">
        <f aca="false">SUMIFS(Children!$R$4:$R$500,Children!$B$4:$B$500,$A40,Children!$F$4:$F$500,"Enrolled",Children!$G$4:$G$500,"JAN-2026")</f>
        <v>1041</v>
      </c>
      <c r="F40" s="48" t="n">
        <f aca="false">SUMIFS(Receipts!$B$4:$B$600,Receipts!$G$4:$G$600,$A40,Receipts!$E$4:$E$600,"JAN-2026")</f>
        <v>1041</v>
      </c>
      <c r="G40" s="48" t="n">
        <f aca="false">$E40-$F40</f>
        <v>0</v>
      </c>
      <c r="H40" s="29" t="str">
        <f aca="false">IF($E40=0,"no charge",IF($F40&lt;=0,"unpaid",IF(ABS($G40)&lt;=0.5,"settled",IF($G40&gt;0,"part paid","overpaid"))))</f>
        <v>settled</v>
      </c>
      <c r="I40" s="49" t="n">
        <f aca="false">COUNTIFS(Receipts!$G$4:$G$600,$A40,Receipts!$E$4:$E$600,"JAN-2026")</f>
        <v>1</v>
      </c>
      <c r="J40" s="50" t="n">
        <v>46075</v>
      </c>
      <c r="K40" s="49" t="str">
        <f aca="false">IF($G40&gt;0.5,$B$2-Terms!$G$5,"")</f>
        <v/>
      </c>
      <c r="L40" s="30" t="s">
        <v>649</v>
      </c>
      <c r="M40" s="30"/>
    </row>
    <row r="41" customFormat="false" ht="15" hidden="false" customHeight="false" outlineLevel="0" collapsed="false">
      <c r="A41" s="28" t="s">
        <v>217</v>
      </c>
      <c r="B41" s="28" t="s">
        <v>218</v>
      </c>
      <c r="C41" s="28" t="n">
        <v>1</v>
      </c>
      <c r="D41" s="28" t="s">
        <v>219</v>
      </c>
      <c r="E41" s="48" t="n">
        <f aca="false">SUMIFS(Children!$R$4:$R$500,Children!$B$4:$B$500,$A41,Children!$F$4:$F$500,"Enrolled",Children!$G$4:$G$500,"JAN-2026")</f>
        <v>409.5</v>
      </c>
      <c r="F41" s="48" t="n">
        <f aca="false">SUMIFS(Receipts!$B$4:$B$600,Receipts!$G$4:$G$600,$A41,Receipts!$E$4:$E$600,"JAN-2026")</f>
        <v>409.5</v>
      </c>
      <c r="G41" s="48" t="n">
        <f aca="false">$E41-$F41</f>
        <v>0</v>
      </c>
      <c r="H41" s="29" t="str">
        <f aca="false">IF($E41=0,"no charge",IF($F41&lt;=0,"unpaid",IF(ABS($G41)&lt;=0.5,"settled",IF($G41&gt;0,"part paid","overpaid"))))</f>
        <v>settled</v>
      </c>
      <c r="I41" s="49" t="n">
        <f aca="false">COUNTIFS(Receipts!$G$4:$G$600,$A41,Receipts!$E$4:$E$600,"JAN-2026")</f>
        <v>1</v>
      </c>
      <c r="J41" s="50" t="n">
        <v>46115</v>
      </c>
      <c r="K41" s="49" t="str">
        <f aca="false">IF($G41&gt;0.5,$B$2-Terms!$G$5,"")</f>
        <v/>
      </c>
      <c r="L41" s="30" t="s">
        <v>708</v>
      </c>
      <c r="M41" s="30"/>
    </row>
    <row r="42" customFormat="false" ht="15" hidden="false" customHeight="false" outlineLevel="0" collapsed="false">
      <c r="A42" s="28" t="s">
        <v>220</v>
      </c>
      <c r="B42" s="28" t="s">
        <v>221</v>
      </c>
      <c r="C42" s="28" t="n">
        <v>4</v>
      </c>
      <c r="D42" s="28" t="s">
        <v>222</v>
      </c>
      <c r="E42" s="48" t="n">
        <f aca="false">SUMIFS(Children!$R$4:$R$500,Children!$B$4:$B$500,$A42,Children!$F$4:$F$500,"Enrolled",Children!$G$4:$G$500,"JAN-2026")</f>
        <v>1299.12</v>
      </c>
      <c r="F42" s="48" t="n">
        <f aca="false">SUMIFS(Receipts!$B$4:$B$600,Receipts!$G$4:$G$600,$A42,Receipts!$E$4:$E$600,"JAN-2026")</f>
        <v>1299.12</v>
      </c>
      <c r="G42" s="48" t="n">
        <f aca="false">$E42-$F42</f>
        <v>0</v>
      </c>
      <c r="H42" s="29" t="str">
        <f aca="false">IF($E42=0,"no charge",IF($F42&lt;=0,"unpaid",IF(ABS($G42)&lt;=0.5,"settled",IF($G42&gt;0,"part paid","overpaid"))))</f>
        <v>settled</v>
      </c>
      <c r="I42" s="49" t="n">
        <f aca="false">COUNTIFS(Receipts!$G$4:$G$600,$A42,Receipts!$E$4:$E$600,"JAN-2026")</f>
        <v>1</v>
      </c>
      <c r="J42" s="50" t="n">
        <v>46073</v>
      </c>
      <c r="K42" s="49" t="str">
        <f aca="false">IF($G42&gt;0.5,$B$2-Terms!$G$5,"")</f>
        <v/>
      </c>
      <c r="L42" s="30" t="s">
        <v>645</v>
      </c>
      <c r="M42" s="30"/>
    </row>
    <row r="43" customFormat="false" ht="15" hidden="false" customHeight="false" outlineLevel="0" collapsed="false">
      <c r="A43" s="28" t="s">
        <v>224</v>
      </c>
      <c r="B43" s="28" t="s">
        <v>225</v>
      </c>
      <c r="C43" s="28" t="n">
        <v>1</v>
      </c>
      <c r="D43" s="28" t="s">
        <v>226</v>
      </c>
      <c r="E43" s="48" t="n">
        <f aca="false">SUMIFS(Children!$R$4:$R$500,Children!$B$4:$B$500,$A43,Children!$F$4:$F$500,"Enrolled",Children!$G$4:$G$500,"JAN-2026")</f>
        <v>434.5</v>
      </c>
      <c r="F43" s="48" t="n">
        <f aca="false">SUMIFS(Receipts!$B$4:$B$600,Receipts!$G$4:$G$600,$A43,Receipts!$E$4:$E$600,"JAN-2026")</f>
        <v>434.5</v>
      </c>
      <c r="G43" s="48" t="n">
        <f aca="false">$E43-$F43</f>
        <v>0</v>
      </c>
      <c r="H43" s="29" t="str">
        <f aca="false">IF($E43=0,"no charge",IF($F43&lt;=0,"unpaid",IF(ABS($G43)&lt;=0.5,"settled",IF($G43&gt;0,"part paid","overpaid"))))</f>
        <v>settled</v>
      </c>
      <c r="I43" s="49" t="n">
        <f aca="false">COUNTIFS(Receipts!$G$4:$G$600,$A43,Receipts!$E$4:$E$600,"JAN-2026")</f>
        <v>1</v>
      </c>
      <c r="J43" s="50" t="n">
        <v>46053</v>
      </c>
      <c r="K43" s="49" t="str">
        <f aca="false">IF($G43&gt;0.5,$B$2-Terms!$G$5,"")</f>
        <v/>
      </c>
      <c r="L43" s="30" t="s">
        <v>577</v>
      </c>
      <c r="M43" s="30"/>
    </row>
    <row r="44" customFormat="false" ht="15" hidden="false" customHeight="false" outlineLevel="0" collapsed="false">
      <c r="A44" s="38" t="s">
        <v>230</v>
      </c>
      <c r="B44" s="38" t="s">
        <v>231</v>
      </c>
      <c r="C44" s="38" t="n">
        <v>1</v>
      </c>
      <c r="D44" s="38" t="s">
        <v>232</v>
      </c>
      <c r="E44" s="42" t="n">
        <f aca="false">SUMIFS(Children!$R$4:$R$500,Children!$B$4:$B$500,$A44,Children!$F$4:$F$500,"Enrolled",Children!$G$4:$G$500,"JAN-2026")</f>
        <v>434.5</v>
      </c>
      <c r="F44" s="42" t="n">
        <f aca="false">SUMIFS(Receipts!$B$4:$B$600,Receipts!$G$4:$G$600,$A44,Receipts!$E$4:$E$600,"JAN-2026")</f>
        <v>434.5</v>
      </c>
      <c r="G44" s="42" t="n">
        <f aca="false">$E44-$F44</f>
        <v>0</v>
      </c>
      <c r="H44" s="39" t="str">
        <f aca="false">IF($E44=0,"no charge",IF($F44&lt;=0,"unpaid",IF(ABS($G44)&lt;=0.5,"settled",IF($G44&gt;0,"part paid","overpaid"))))</f>
        <v>settled</v>
      </c>
      <c r="I44" s="43" t="n">
        <f aca="false">COUNTIFS(Receipts!$G$4:$G$600,$A44,Receipts!$E$4:$E$600,"JAN-2026")</f>
        <v>1</v>
      </c>
      <c r="J44" s="44" t="n">
        <v>46112</v>
      </c>
      <c r="K44" s="43" t="str">
        <f aca="false">IF($G44&gt;0.5,$B$2-Terms!$G$5,"")</f>
        <v/>
      </c>
      <c r="L44" s="40" t="s">
        <v>232</v>
      </c>
      <c r="M44" s="40" t="s">
        <v>813</v>
      </c>
    </row>
    <row r="45" customFormat="false" ht="15" hidden="false" customHeight="false" outlineLevel="0" collapsed="false">
      <c r="A45" s="28" t="s">
        <v>234</v>
      </c>
      <c r="B45" s="28" t="s">
        <v>235</v>
      </c>
      <c r="C45" s="28" t="n">
        <v>1</v>
      </c>
      <c r="D45" s="28" t="s">
        <v>236</v>
      </c>
      <c r="E45" s="48" t="n">
        <f aca="false">SUMIFS(Children!$R$4:$R$500,Children!$B$4:$B$500,$A45,Children!$F$4:$F$500,"Enrolled",Children!$G$4:$G$500,"JAN-2026")</f>
        <v>434.5</v>
      </c>
      <c r="F45" s="48" t="n">
        <f aca="false">SUMIFS(Receipts!$B$4:$B$600,Receipts!$G$4:$G$600,$A45,Receipts!$E$4:$E$600,"JAN-2026")</f>
        <v>434.5</v>
      </c>
      <c r="G45" s="48" t="n">
        <f aca="false">$E45-$F45</f>
        <v>0</v>
      </c>
      <c r="H45" s="29" t="str">
        <f aca="false">IF($E45=0,"no charge",IF($F45&lt;=0,"unpaid",IF(ABS($G45)&lt;=0.5,"settled",IF($G45&gt;0,"part paid","overpaid"))))</f>
        <v>settled</v>
      </c>
      <c r="I45" s="49" t="n">
        <f aca="false">COUNTIFS(Receipts!$G$4:$G$600,$A45,Receipts!$E$4:$E$600,"JAN-2026")</f>
        <v>2</v>
      </c>
      <c r="J45" s="50" t="n">
        <v>46121</v>
      </c>
      <c r="K45" s="49" t="str">
        <f aca="false">IF($G45&gt;0.5,$B$2-Terms!$G$5,"")</f>
        <v/>
      </c>
      <c r="L45" s="30" t="s">
        <v>829</v>
      </c>
      <c r="M45" s="30"/>
    </row>
    <row r="46" customFormat="false" ht="15" hidden="false" customHeight="false" outlineLevel="0" collapsed="false">
      <c r="A46" s="28" t="s">
        <v>238</v>
      </c>
      <c r="B46" s="28" t="s">
        <v>239</v>
      </c>
      <c r="C46" s="28" t="n">
        <v>3</v>
      </c>
      <c r="D46" s="28" t="s">
        <v>240</v>
      </c>
      <c r="E46" s="48" t="n">
        <f aca="false">SUMIFS(Children!$R$4:$R$500,Children!$B$4:$B$500,$A46,Children!$F$4:$F$500,"Enrolled",Children!$G$4:$G$500,"JAN-2026")</f>
        <v>1041</v>
      </c>
      <c r="F46" s="48" t="n">
        <f aca="false">SUMIFS(Receipts!$B$4:$B$600,Receipts!$G$4:$G$600,$A46,Receipts!$E$4:$E$600,"JAN-2026")</f>
        <v>1041</v>
      </c>
      <c r="G46" s="48" t="n">
        <f aca="false">$E46-$F46</f>
        <v>0</v>
      </c>
      <c r="H46" s="29" t="str">
        <f aca="false">IF($E46=0,"no charge",IF($F46&lt;=0,"unpaid",IF(ABS($G46)&lt;=0.5,"settled",IF($G46&gt;0,"part paid","overpaid"))))</f>
        <v>settled</v>
      </c>
      <c r="I46" s="49" t="n">
        <f aca="false">COUNTIFS(Receipts!$G$4:$G$600,$A46,Receipts!$E$4:$E$600,"JAN-2026")</f>
        <v>1</v>
      </c>
      <c r="J46" s="50" t="n">
        <v>46138</v>
      </c>
      <c r="K46" s="49" t="str">
        <f aca="false">IF($G46&gt;0.5,$B$2-Terms!$G$5,"")</f>
        <v/>
      </c>
      <c r="L46" s="30" t="s">
        <v>760</v>
      </c>
      <c r="M46" s="30"/>
    </row>
    <row r="47" customFormat="false" ht="15" hidden="false" customHeight="false" outlineLevel="0" collapsed="false">
      <c r="A47" s="28" t="s">
        <v>246</v>
      </c>
      <c r="B47" s="28" t="s">
        <v>247</v>
      </c>
      <c r="C47" s="28" t="n">
        <v>2</v>
      </c>
      <c r="D47" s="28" t="s">
        <v>248</v>
      </c>
      <c r="E47" s="48" t="n">
        <f aca="false">SUMIFS(Children!$R$4:$R$500,Children!$B$4:$B$500,$A47,Children!$F$4:$F$500,"Enrolled",Children!$G$4:$G$500,"JAN-2026")</f>
        <v>774.5</v>
      </c>
      <c r="F47" s="48" t="n">
        <f aca="false">SUMIFS(Receipts!$B$4:$B$600,Receipts!$G$4:$G$600,$A47,Receipts!$E$4:$E$600,"JAN-2026")</f>
        <v>774.5</v>
      </c>
      <c r="G47" s="48" t="n">
        <f aca="false">$E47-$F47</f>
        <v>0</v>
      </c>
      <c r="H47" s="29" t="str">
        <f aca="false">IF($E47=0,"no charge",IF($F47&lt;=0,"unpaid",IF(ABS($G47)&lt;=0.5,"settled",IF($G47&gt;0,"part paid","overpaid"))))</f>
        <v>settled</v>
      </c>
      <c r="I47" s="49" t="n">
        <f aca="false">COUNTIFS(Receipts!$G$4:$G$600,$A47,Receipts!$E$4:$E$600,"JAN-2026")</f>
        <v>2</v>
      </c>
      <c r="J47" s="50" t="n">
        <v>46135</v>
      </c>
      <c r="K47" s="49" t="str">
        <f aca="false">IF($G47&gt;0.5,$B$2-Terms!$G$5,"")</f>
        <v/>
      </c>
      <c r="L47" s="30" t="s">
        <v>830</v>
      </c>
      <c r="M47" s="30"/>
    </row>
    <row r="48" customFormat="false" ht="15" hidden="false" customHeight="false" outlineLevel="0" collapsed="false">
      <c r="A48" s="28" t="s">
        <v>250</v>
      </c>
      <c r="B48" s="28" t="s">
        <v>251</v>
      </c>
      <c r="C48" s="28" t="n">
        <v>2</v>
      </c>
      <c r="D48" s="28" t="s">
        <v>252</v>
      </c>
      <c r="E48" s="48" t="n">
        <f aca="false">SUMIFS(Children!$R$4:$R$500,Children!$B$4:$B$500,$A48,Children!$F$4:$F$500,"Enrolled",Children!$G$4:$G$500,"JAN-2026")</f>
        <v>799.5</v>
      </c>
      <c r="F48" s="48" t="n">
        <f aca="false">SUMIFS(Receipts!$B$4:$B$600,Receipts!$G$4:$G$600,$A48,Receipts!$E$4:$E$600,"JAN-2026")</f>
        <v>799.5</v>
      </c>
      <c r="G48" s="48" t="n">
        <f aca="false">$E48-$F48</f>
        <v>0</v>
      </c>
      <c r="H48" s="29" t="str">
        <f aca="false">IF($E48=0,"no charge",IF($F48&lt;=0,"unpaid",IF(ABS($G48)&lt;=0.5,"settled",IF($G48&gt;0,"part paid","overpaid"))))</f>
        <v>settled</v>
      </c>
      <c r="I48" s="49" t="n">
        <f aca="false">COUNTIFS(Receipts!$G$4:$G$600,$A48,Receipts!$E$4:$E$600,"JAN-2026")</f>
        <v>1</v>
      </c>
      <c r="J48" s="50" t="n">
        <v>46087</v>
      </c>
      <c r="K48" s="49" t="str">
        <f aca="false">IF($G48&gt;0.5,$B$2-Terms!$G$5,"")</f>
        <v/>
      </c>
      <c r="L48" s="30" t="s">
        <v>675</v>
      </c>
      <c r="M48" s="30"/>
    </row>
    <row r="49" customFormat="false" ht="15" hidden="false" customHeight="false" outlineLevel="0" collapsed="false">
      <c r="A49" s="28" t="s">
        <v>253</v>
      </c>
      <c r="B49" s="28" t="s">
        <v>254</v>
      </c>
      <c r="C49" s="28" t="n">
        <v>2</v>
      </c>
      <c r="D49" s="28" t="s">
        <v>255</v>
      </c>
      <c r="E49" s="48" t="n">
        <f aca="false">SUMIFS(Children!$R$4:$R$500,Children!$B$4:$B$500,$A49,Children!$F$4:$F$500,"Enrolled",Children!$G$4:$G$500,"JAN-2026")</f>
        <v>774.5</v>
      </c>
      <c r="F49" s="48" t="n">
        <f aca="false">SUMIFS(Receipts!$B$4:$B$600,Receipts!$G$4:$G$600,$A49,Receipts!$E$4:$E$600,"JAN-2026")</f>
        <v>774.5</v>
      </c>
      <c r="G49" s="48" t="n">
        <f aca="false">$E49-$F49</f>
        <v>0</v>
      </c>
      <c r="H49" s="29" t="str">
        <f aca="false">IF($E49=0,"no charge",IF($F49&lt;=0,"unpaid",IF(ABS($G49)&lt;=0.5,"settled",IF($G49&gt;0,"part paid","overpaid"))))</f>
        <v>settled</v>
      </c>
      <c r="I49" s="49" t="n">
        <f aca="false">COUNTIFS(Receipts!$G$4:$G$600,$A49,Receipts!$E$4:$E$600,"JAN-2026")</f>
        <v>2</v>
      </c>
      <c r="J49" s="50" t="n">
        <v>46063</v>
      </c>
      <c r="K49" s="49" t="str">
        <f aca="false">IF($G49&gt;0.5,$B$2-Terms!$G$5,"")</f>
        <v/>
      </c>
      <c r="L49" s="30" t="s">
        <v>831</v>
      </c>
      <c r="M49" s="30"/>
    </row>
    <row r="50" customFormat="false" ht="15" hidden="false" customHeight="false" outlineLevel="0" collapsed="false">
      <c r="A50" s="28" t="s">
        <v>257</v>
      </c>
      <c r="B50" s="28" t="s">
        <v>258</v>
      </c>
      <c r="C50" s="28" t="n">
        <v>1</v>
      </c>
      <c r="D50" s="28" t="s">
        <v>259</v>
      </c>
      <c r="E50" s="48" t="n">
        <f aca="false">SUMIFS(Children!$R$4:$R$500,Children!$B$4:$B$500,$A50,Children!$F$4:$F$500,"Enrolled",Children!$G$4:$G$500,"JAN-2026")</f>
        <v>434.5</v>
      </c>
      <c r="F50" s="48" t="n">
        <f aca="false">SUMIFS(Receipts!$B$4:$B$600,Receipts!$G$4:$G$600,$A50,Receipts!$E$4:$E$600,"JAN-2026")</f>
        <v>434.5</v>
      </c>
      <c r="G50" s="48" t="n">
        <f aca="false">$E50-$F50</f>
        <v>0</v>
      </c>
      <c r="H50" s="29" t="str">
        <f aca="false">IF($E50=0,"no charge",IF($F50&lt;=0,"unpaid",IF(ABS($G50)&lt;=0.5,"settled",IF($G50&gt;0,"part paid","overpaid"))))</f>
        <v>settled</v>
      </c>
      <c r="I50" s="49" t="n">
        <f aca="false">COUNTIFS(Receipts!$G$4:$G$600,$A50,Receipts!$E$4:$E$600,"JAN-2026")</f>
        <v>1</v>
      </c>
      <c r="J50" s="50" t="n">
        <v>46086</v>
      </c>
      <c r="K50" s="49" t="str">
        <f aca="false">IF($G50&gt;0.5,$B$2-Terms!$G$5,"")</f>
        <v/>
      </c>
      <c r="L50" s="30" t="s">
        <v>259</v>
      </c>
      <c r="M50" s="30"/>
    </row>
    <row r="51" customFormat="false" ht="15" hidden="false" customHeight="false" outlineLevel="0" collapsed="false">
      <c r="A51" s="28" t="s">
        <v>261</v>
      </c>
      <c r="B51" s="28" t="s">
        <v>262</v>
      </c>
      <c r="C51" s="28" t="n">
        <v>1</v>
      </c>
      <c r="D51" s="28" t="s">
        <v>263</v>
      </c>
      <c r="E51" s="48" t="n">
        <f aca="false">SUMIFS(Children!$R$4:$R$500,Children!$B$4:$B$500,$A51,Children!$F$4:$F$500,"Enrolled",Children!$G$4:$G$500,"JAN-2026")</f>
        <v>434.5</v>
      </c>
      <c r="F51" s="48" t="n">
        <f aca="false">SUMIFS(Receipts!$B$4:$B$600,Receipts!$G$4:$G$600,$A51,Receipts!$E$4:$E$600,"JAN-2026")</f>
        <v>434.5</v>
      </c>
      <c r="G51" s="48" t="n">
        <f aca="false">$E51-$F51</f>
        <v>0</v>
      </c>
      <c r="H51" s="29" t="str">
        <f aca="false">IF($E51=0,"no charge",IF($F51&lt;=0,"unpaid",IF(ABS($G51)&lt;=0.5,"settled",IF($G51&gt;0,"part paid","overpaid"))))</f>
        <v>settled</v>
      </c>
      <c r="I51" s="49" t="n">
        <f aca="false">COUNTIFS(Receipts!$G$4:$G$600,$A51,Receipts!$E$4:$E$600,"JAN-2026")</f>
        <v>1</v>
      </c>
      <c r="J51" s="50" t="n">
        <v>46063</v>
      </c>
      <c r="K51" s="49" t="str">
        <f aca="false">IF($G51&gt;0.5,$B$2-Terms!$G$5,"")</f>
        <v/>
      </c>
      <c r="L51" s="30" t="s">
        <v>263</v>
      </c>
      <c r="M51" s="30"/>
    </row>
    <row r="52" customFormat="false" ht="15" hidden="false" customHeight="false" outlineLevel="0" collapsed="false">
      <c r="A52" s="28" t="s">
        <v>268</v>
      </c>
      <c r="B52" s="28" t="s">
        <v>269</v>
      </c>
      <c r="C52" s="28" t="n">
        <v>1</v>
      </c>
      <c r="D52" s="28" t="s">
        <v>270</v>
      </c>
      <c r="E52" s="48" t="n">
        <f aca="false">SUMIFS(Children!$R$4:$R$500,Children!$B$4:$B$500,$A52,Children!$F$4:$F$500,"Enrolled",Children!$G$4:$G$500,"JAN-2026")</f>
        <v>409.5</v>
      </c>
      <c r="F52" s="48" t="n">
        <f aca="false">SUMIFS(Receipts!$B$4:$B$600,Receipts!$G$4:$G$600,$A52,Receipts!$E$4:$E$600,"JAN-2026")</f>
        <v>409.5</v>
      </c>
      <c r="G52" s="48" t="n">
        <f aca="false">$E52-$F52</f>
        <v>0</v>
      </c>
      <c r="H52" s="29" t="str">
        <f aca="false">IF($E52=0,"no charge",IF($F52&lt;=0,"unpaid",IF(ABS($G52)&lt;=0.5,"settled",IF($G52&gt;0,"part paid","overpaid"))))</f>
        <v>settled</v>
      </c>
      <c r="I52" s="49" t="n">
        <f aca="false">COUNTIFS(Receipts!$G$4:$G$600,$A52,Receipts!$E$4:$E$600,"JAN-2026")</f>
        <v>1</v>
      </c>
      <c r="J52" s="50" t="n">
        <v>46069</v>
      </c>
      <c r="K52" s="49" t="str">
        <f aca="false">IF($G52&gt;0.5,$B$2-Terms!$G$5,"")</f>
        <v/>
      </c>
      <c r="L52" s="30" t="s">
        <v>396</v>
      </c>
      <c r="M52" s="30"/>
    </row>
    <row r="53" customFormat="false" ht="15" hidden="false" customHeight="false" outlineLevel="0" collapsed="false">
      <c r="A53" s="28" t="s">
        <v>279</v>
      </c>
      <c r="B53" s="28" t="s">
        <v>280</v>
      </c>
      <c r="C53" s="28" t="n">
        <v>2</v>
      </c>
      <c r="D53" s="28" t="s">
        <v>281</v>
      </c>
      <c r="E53" s="48" t="n">
        <f aca="false">SUMIFS(Children!$R$4:$R$500,Children!$B$4:$B$500,$A53,Children!$F$4:$F$500,"Enrolled",Children!$G$4:$G$500,"JAN-2026")</f>
        <v>774.5</v>
      </c>
      <c r="F53" s="48" t="n">
        <f aca="false">SUMIFS(Receipts!$B$4:$B$600,Receipts!$G$4:$G$600,$A53,Receipts!$E$4:$E$600,"JAN-2026")</f>
        <v>774.5</v>
      </c>
      <c r="G53" s="48" t="n">
        <f aca="false">$E53-$F53</f>
        <v>0</v>
      </c>
      <c r="H53" s="29" t="str">
        <f aca="false">IF($E53=0,"no charge",IF($F53&lt;=0,"unpaid",IF(ABS($G53)&lt;=0.5,"settled",IF($G53&gt;0,"part paid","overpaid"))))</f>
        <v>settled</v>
      </c>
      <c r="I53" s="49" t="n">
        <f aca="false">COUNTIFS(Receipts!$G$4:$G$600,$A53,Receipts!$E$4:$E$600,"JAN-2026")</f>
        <v>1</v>
      </c>
      <c r="J53" s="50" t="n">
        <v>46070</v>
      </c>
      <c r="K53" s="49" t="str">
        <f aca="false">IF($G53&gt;0.5,$B$2-Terms!$G$5,"")</f>
        <v/>
      </c>
      <c r="L53" s="30" t="s">
        <v>633</v>
      </c>
      <c r="M53" s="30"/>
    </row>
    <row r="54" customFormat="false" ht="15" hidden="false" customHeight="false" outlineLevel="0" collapsed="false">
      <c r="A54" s="38" t="s">
        <v>285</v>
      </c>
      <c r="B54" s="38" t="s">
        <v>286</v>
      </c>
      <c r="C54" s="38" t="n">
        <v>1</v>
      </c>
      <c r="D54" s="38" t="s">
        <v>287</v>
      </c>
      <c r="E54" s="42" t="n">
        <f aca="false">SUMIFS(Children!$R$4:$R$500,Children!$B$4:$B$500,$A54,Children!$F$4:$F$500,"Enrolled",Children!$G$4:$G$500,"JAN-2026")</f>
        <v>434.5</v>
      </c>
      <c r="F54" s="42" t="n">
        <f aca="false">SUMIFS(Receipts!$B$4:$B$600,Receipts!$G$4:$G$600,$A54,Receipts!$E$4:$E$600,"JAN-2026")</f>
        <v>434.5</v>
      </c>
      <c r="G54" s="42" t="n">
        <f aca="false">$E54-$F54</f>
        <v>0</v>
      </c>
      <c r="H54" s="39" t="str">
        <f aca="false">IF($E54=0,"no charge",IF($F54&lt;=0,"unpaid",IF(ABS($G54)&lt;=0.5,"settled",IF($G54&gt;0,"part paid","overpaid"))))</f>
        <v>settled</v>
      </c>
      <c r="I54" s="43" t="n">
        <f aca="false">COUNTIFS(Receipts!$G$4:$G$600,$A54,Receipts!$E$4:$E$600,"JAN-2026")</f>
        <v>1</v>
      </c>
      <c r="J54" s="44" t="n">
        <v>46121</v>
      </c>
      <c r="K54" s="43" t="str">
        <f aca="false">IF($G54&gt;0.5,$B$2-Terms!$G$5,"")</f>
        <v/>
      </c>
      <c r="L54" s="40" t="s">
        <v>721</v>
      </c>
      <c r="M54" s="40" t="s">
        <v>813</v>
      </c>
    </row>
    <row r="55" customFormat="false" ht="15" hidden="false" customHeight="false" outlineLevel="0" collapsed="false">
      <c r="A55" s="28" t="s">
        <v>288</v>
      </c>
      <c r="B55" s="28" t="s">
        <v>289</v>
      </c>
      <c r="C55" s="28" t="n">
        <v>2</v>
      </c>
      <c r="D55" s="28" t="s">
        <v>290</v>
      </c>
      <c r="E55" s="48" t="n">
        <f aca="false">SUMIFS(Children!$R$4:$R$500,Children!$B$4:$B$500,$A55,Children!$F$4:$F$500,"Enrolled",Children!$G$4:$G$500,"JAN-2026")</f>
        <v>774.5</v>
      </c>
      <c r="F55" s="48" t="n">
        <f aca="false">SUMIFS(Receipts!$B$4:$B$600,Receipts!$G$4:$G$600,$A55,Receipts!$E$4:$E$600,"JAN-2026")</f>
        <v>774.5</v>
      </c>
      <c r="G55" s="48" t="n">
        <f aca="false">$E55-$F55</f>
        <v>0</v>
      </c>
      <c r="H55" s="29" t="str">
        <f aca="false">IF($E55=0,"no charge",IF($F55&lt;=0,"unpaid",IF(ABS($G55)&lt;=0.5,"settled",IF($G55&gt;0,"part paid","overpaid"))))</f>
        <v>settled</v>
      </c>
      <c r="I55" s="49" t="n">
        <f aca="false">COUNTIFS(Receipts!$G$4:$G$600,$A55,Receipts!$E$4:$E$600,"JAN-2026")</f>
        <v>1</v>
      </c>
      <c r="J55" s="50" t="n">
        <v>46118</v>
      </c>
      <c r="K55" s="49" t="str">
        <f aca="false">IF($G55&gt;0.5,$B$2-Terms!$G$5,"")</f>
        <v/>
      </c>
      <c r="L55" s="30" t="s">
        <v>290</v>
      </c>
      <c r="M55" s="30"/>
    </row>
    <row r="56" customFormat="false" ht="15" hidden="false" customHeight="false" outlineLevel="0" collapsed="false">
      <c r="A56" s="28" t="s">
        <v>292</v>
      </c>
      <c r="B56" s="28" t="s">
        <v>293</v>
      </c>
      <c r="C56" s="28" t="n">
        <v>2</v>
      </c>
      <c r="D56" s="28" t="s">
        <v>294</v>
      </c>
      <c r="E56" s="48" t="n">
        <f aca="false">SUMIFS(Children!$R$4:$R$500,Children!$B$4:$B$500,$A56,Children!$F$4:$F$500,"Enrolled",Children!$G$4:$G$500,"JAN-2026")</f>
        <v>749.5</v>
      </c>
      <c r="F56" s="48" t="n">
        <f aca="false">SUMIFS(Receipts!$B$4:$B$600,Receipts!$G$4:$G$600,$A56,Receipts!$E$4:$E$600,"JAN-2026")</f>
        <v>749.5</v>
      </c>
      <c r="G56" s="48" t="n">
        <f aca="false">$E56-$F56</f>
        <v>0</v>
      </c>
      <c r="H56" s="29" t="str">
        <f aca="false">IF($E56=0,"no charge",IF($F56&lt;=0,"unpaid",IF(ABS($G56)&lt;=0.5,"settled",IF($G56&gt;0,"part paid","overpaid"))))</f>
        <v>settled</v>
      </c>
      <c r="I56" s="49" t="n">
        <f aca="false">COUNTIFS(Receipts!$G$4:$G$600,$A56,Receipts!$E$4:$E$600,"JAN-2026")</f>
        <v>2</v>
      </c>
      <c r="J56" s="50" t="n">
        <v>46083</v>
      </c>
      <c r="K56" s="49" t="str">
        <f aca="false">IF($G56&gt;0.5,$B$2-Terms!$G$5,"")</f>
        <v/>
      </c>
      <c r="L56" s="30" t="s">
        <v>832</v>
      </c>
      <c r="M56" s="30"/>
    </row>
    <row r="57" customFormat="false" ht="15" hidden="false" customHeight="false" outlineLevel="0" collapsed="false">
      <c r="A57" s="28" t="s">
        <v>296</v>
      </c>
      <c r="B57" s="28" t="s">
        <v>297</v>
      </c>
      <c r="C57" s="28" t="n">
        <v>1</v>
      </c>
      <c r="D57" s="28" t="s">
        <v>298</v>
      </c>
      <c r="E57" s="48" t="n">
        <f aca="false">SUMIFS(Children!$R$4:$R$500,Children!$B$4:$B$500,$A57,Children!$F$4:$F$500,"Enrolled",Children!$G$4:$G$500,"JAN-2026")</f>
        <v>409.5</v>
      </c>
      <c r="F57" s="48" t="n">
        <f aca="false">SUMIFS(Receipts!$B$4:$B$600,Receipts!$G$4:$G$600,$A57,Receipts!$E$4:$E$600,"JAN-2026")</f>
        <v>409.5</v>
      </c>
      <c r="G57" s="48" t="n">
        <f aca="false">$E57-$F57</f>
        <v>0</v>
      </c>
      <c r="H57" s="29" t="str">
        <f aca="false">IF($E57=0,"no charge",IF($F57&lt;=0,"unpaid",IF(ABS($G57)&lt;=0.5,"settled",IF($G57&gt;0,"part paid","overpaid"))))</f>
        <v>settled</v>
      </c>
      <c r="I57" s="49" t="n">
        <f aca="false">COUNTIFS(Receipts!$G$4:$G$600,$A57,Receipts!$E$4:$E$600,"JAN-2026")</f>
        <v>2</v>
      </c>
      <c r="J57" s="50" t="n">
        <v>46094</v>
      </c>
      <c r="K57" s="49" t="str">
        <f aca="false">IF($G57&gt;0.5,$B$2-Terms!$G$5,"")</f>
        <v/>
      </c>
      <c r="L57" s="30" t="s">
        <v>833</v>
      </c>
      <c r="M57" s="30"/>
    </row>
    <row r="58" customFormat="false" ht="15" hidden="false" customHeight="false" outlineLevel="0" collapsed="false">
      <c r="A58" s="28" t="s">
        <v>302</v>
      </c>
      <c r="B58" s="28" t="s">
        <v>303</v>
      </c>
      <c r="C58" s="28" t="n">
        <v>1</v>
      </c>
      <c r="D58" s="28" t="s">
        <v>304</v>
      </c>
      <c r="E58" s="48" t="n">
        <f aca="false">SUMIFS(Children!$R$4:$R$500,Children!$B$4:$B$500,$A58,Children!$F$4:$F$500,"Enrolled",Children!$G$4:$G$500,"JAN-2026")</f>
        <v>434.5</v>
      </c>
      <c r="F58" s="48" t="n">
        <f aca="false">SUMIFS(Receipts!$B$4:$B$600,Receipts!$G$4:$G$600,$A58,Receipts!$E$4:$E$600,"JAN-2026")</f>
        <v>434.5</v>
      </c>
      <c r="G58" s="48" t="n">
        <f aca="false">$E58-$F58</f>
        <v>0</v>
      </c>
      <c r="H58" s="29" t="str">
        <f aca="false">IF($E58=0,"no charge",IF($F58&lt;=0,"unpaid",IF(ABS($G58)&lt;=0.5,"settled",IF($G58&gt;0,"part paid","overpaid"))))</f>
        <v>settled</v>
      </c>
      <c r="I58" s="49" t="n">
        <f aca="false">COUNTIFS(Receipts!$G$4:$G$600,$A58,Receipts!$E$4:$E$600,"JAN-2026")</f>
        <v>1</v>
      </c>
      <c r="J58" s="50" t="n">
        <v>46140</v>
      </c>
      <c r="K58" s="49" t="str">
        <f aca="false">IF($G58&gt;0.5,$B$2-Terms!$G$5,"")</f>
        <v/>
      </c>
      <c r="L58" s="30" t="s">
        <v>304</v>
      </c>
      <c r="M58" s="30"/>
    </row>
    <row r="59" customFormat="false" ht="15" hidden="false" customHeight="false" outlineLevel="0" collapsed="false">
      <c r="A59" s="28" t="s">
        <v>306</v>
      </c>
      <c r="B59" s="28" t="s">
        <v>307</v>
      </c>
      <c r="C59" s="28" t="n">
        <v>1</v>
      </c>
      <c r="D59" s="28" t="s">
        <v>308</v>
      </c>
      <c r="E59" s="48" t="n">
        <f aca="false">SUMIFS(Children!$R$4:$R$500,Children!$B$4:$B$500,$A59,Children!$F$4:$F$500,"Enrolled",Children!$G$4:$G$500,"JAN-2026")</f>
        <v>434.5</v>
      </c>
      <c r="F59" s="48" t="n">
        <f aca="false">SUMIFS(Receipts!$B$4:$B$600,Receipts!$G$4:$G$600,$A59,Receipts!$E$4:$E$600,"JAN-2026")</f>
        <v>434.5</v>
      </c>
      <c r="G59" s="48" t="n">
        <f aca="false">$E59-$F59</f>
        <v>0</v>
      </c>
      <c r="H59" s="29" t="str">
        <f aca="false">IF($E59=0,"no charge",IF($F59&lt;=0,"unpaid",IF(ABS($G59)&lt;=0.5,"settled",IF($G59&gt;0,"part paid","overpaid"))))</f>
        <v>settled</v>
      </c>
      <c r="I59" s="49" t="n">
        <f aca="false">COUNTIFS(Receipts!$G$4:$G$600,$A59,Receipts!$E$4:$E$600,"JAN-2026")</f>
        <v>1</v>
      </c>
      <c r="J59" s="50" t="n">
        <v>46029</v>
      </c>
      <c r="K59" s="49" t="str">
        <f aca="false">IF($G59&gt;0.5,$B$2-Terms!$G$5,"")</f>
        <v/>
      </c>
      <c r="L59" s="30" t="s">
        <v>363</v>
      </c>
      <c r="M59" s="30"/>
    </row>
    <row r="60" customFormat="false" ht="15" hidden="false" customHeight="false" outlineLevel="0" collapsed="false">
      <c r="A60" s="28" t="s">
        <v>312</v>
      </c>
      <c r="B60" s="28" t="s">
        <v>313</v>
      </c>
      <c r="C60" s="28" t="n">
        <v>1</v>
      </c>
      <c r="D60" s="28" t="s">
        <v>314</v>
      </c>
      <c r="E60" s="48" t="n">
        <f aca="false">SUMIFS(Children!$R$4:$R$500,Children!$B$4:$B$500,$A60,Children!$F$4:$F$500,"Enrolled",Children!$G$4:$G$500,"JAN-2026")</f>
        <v>434.5</v>
      </c>
      <c r="F60" s="48" t="n">
        <f aca="false">SUMIFS(Receipts!$B$4:$B$600,Receipts!$G$4:$G$600,$A60,Receipts!$E$4:$E$600,"JAN-2026")</f>
        <v>434.5</v>
      </c>
      <c r="G60" s="48" t="n">
        <f aca="false">$E60-$F60</f>
        <v>0</v>
      </c>
      <c r="H60" s="29" t="str">
        <f aca="false">IF($E60=0,"no charge",IF($F60&lt;=0,"unpaid",IF(ABS($G60)&lt;=0.5,"settled",IF($G60&gt;0,"part paid","overpaid"))))</f>
        <v>settled</v>
      </c>
      <c r="I60" s="49" t="n">
        <f aca="false">COUNTIFS(Receipts!$G$4:$G$600,$A60,Receipts!$E$4:$E$600,"JAN-2026")</f>
        <v>1</v>
      </c>
      <c r="J60" s="50" t="n">
        <v>46114</v>
      </c>
      <c r="K60" s="49" t="str">
        <f aca="false">IF($G60&gt;0.5,$B$2-Terms!$G$5,"")</f>
        <v/>
      </c>
      <c r="L60" s="30" t="s">
        <v>314</v>
      </c>
      <c r="M60" s="30"/>
    </row>
    <row r="61" customFormat="false" ht="15" hidden="false" customHeight="false" outlineLevel="0" collapsed="false">
      <c r="A61" s="28" t="s">
        <v>316</v>
      </c>
      <c r="B61" s="28" t="s">
        <v>317</v>
      </c>
      <c r="C61" s="28" t="n">
        <v>1</v>
      </c>
      <c r="D61" s="28" t="s">
        <v>318</v>
      </c>
      <c r="E61" s="48" t="n">
        <f aca="false">SUMIFS(Children!$R$4:$R$500,Children!$B$4:$B$500,$A61,Children!$F$4:$F$500,"Enrolled",Children!$G$4:$G$500,"JAN-2026")</f>
        <v>434.5</v>
      </c>
      <c r="F61" s="48" t="n">
        <f aca="false">SUMIFS(Receipts!$B$4:$B$600,Receipts!$G$4:$G$600,$A61,Receipts!$E$4:$E$600,"JAN-2026")</f>
        <v>434.5</v>
      </c>
      <c r="G61" s="48" t="n">
        <f aca="false">$E61-$F61</f>
        <v>0</v>
      </c>
      <c r="H61" s="29" t="str">
        <f aca="false">IF($E61=0,"no charge",IF($F61&lt;=0,"unpaid",IF(ABS($G61)&lt;=0.5,"settled",IF($G61&gt;0,"part paid","overpaid"))))</f>
        <v>settled</v>
      </c>
      <c r="I61" s="49" t="n">
        <f aca="false">COUNTIFS(Receipts!$G$4:$G$600,$A61,Receipts!$E$4:$E$600,"JAN-2026")</f>
        <v>1</v>
      </c>
      <c r="J61" s="50" t="n">
        <v>46077</v>
      </c>
      <c r="K61" s="49" t="str">
        <f aca="false">IF($G61&gt;0.5,$B$2-Terms!$G$5,"")</f>
        <v/>
      </c>
      <c r="L61" s="30" t="s">
        <v>659</v>
      </c>
      <c r="M61" s="30"/>
    </row>
    <row r="62" customFormat="false" ht="15" hidden="false" customHeight="false" outlineLevel="0" collapsed="false">
      <c r="A62" s="28" t="s">
        <v>319</v>
      </c>
      <c r="B62" s="28" t="s">
        <v>320</v>
      </c>
      <c r="C62" s="28" t="n">
        <v>1</v>
      </c>
      <c r="D62" s="28" t="s">
        <v>321</v>
      </c>
      <c r="E62" s="48" t="n">
        <f aca="false">SUMIFS(Children!$R$4:$R$500,Children!$B$4:$B$500,$A62,Children!$F$4:$F$500,"Enrolled",Children!$G$4:$G$500,"JAN-2026")</f>
        <v>409.5</v>
      </c>
      <c r="F62" s="48" t="n">
        <f aca="false">SUMIFS(Receipts!$B$4:$B$600,Receipts!$G$4:$G$600,$A62,Receipts!$E$4:$E$600,"JAN-2026")</f>
        <v>409.5</v>
      </c>
      <c r="G62" s="48" t="n">
        <f aca="false">$E62-$F62</f>
        <v>0</v>
      </c>
      <c r="H62" s="29" t="str">
        <f aca="false">IF($E62=0,"no charge",IF($F62&lt;=0,"unpaid",IF(ABS($G62)&lt;=0.5,"settled",IF($G62&gt;0,"part paid","overpaid"))))</f>
        <v>settled</v>
      </c>
      <c r="I62" s="49" t="n">
        <f aca="false">COUNTIFS(Receipts!$G$4:$G$600,$A62,Receipts!$E$4:$E$600,"JAN-2026")</f>
        <v>1</v>
      </c>
      <c r="J62" s="50" t="n">
        <v>46064</v>
      </c>
      <c r="K62" s="49" t="str">
        <f aca="false">IF($G62&gt;0.5,$B$2-Terms!$G$5,"")</f>
        <v/>
      </c>
      <c r="L62" s="30" t="s">
        <v>613</v>
      </c>
      <c r="M62" s="30"/>
    </row>
    <row r="63" customFormat="false" ht="15" hidden="false" customHeight="false" outlineLevel="0" collapsed="false">
      <c r="A63" s="28" t="s">
        <v>322</v>
      </c>
      <c r="B63" s="28" t="s">
        <v>323</v>
      </c>
      <c r="C63" s="28" t="n">
        <v>2</v>
      </c>
      <c r="D63" s="28" t="s">
        <v>324</v>
      </c>
      <c r="E63" s="48" t="n">
        <f aca="false">SUMIFS(Children!$R$4:$R$500,Children!$B$4:$B$500,$A63,Children!$F$4:$F$500,"Enrolled",Children!$G$4:$G$500,"JAN-2026")</f>
        <v>749.5</v>
      </c>
      <c r="F63" s="48" t="n">
        <f aca="false">SUMIFS(Receipts!$B$4:$B$600,Receipts!$G$4:$G$600,$A63,Receipts!$E$4:$E$600,"JAN-2026")</f>
        <v>749.5</v>
      </c>
      <c r="G63" s="48" t="n">
        <f aca="false">$E63-$F63</f>
        <v>0</v>
      </c>
      <c r="H63" s="29" t="str">
        <f aca="false">IF($E63=0,"no charge",IF($F63&lt;=0,"unpaid",IF(ABS($G63)&lt;=0.5,"settled",IF($G63&gt;0,"part paid","overpaid"))))</f>
        <v>settled</v>
      </c>
      <c r="I63" s="49" t="n">
        <f aca="false">COUNTIFS(Receipts!$G$4:$G$600,$A63,Receipts!$E$4:$E$600,"JAN-2026")</f>
        <v>2</v>
      </c>
      <c r="J63" s="50" t="n">
        <v>46182</v>
      </c>
      <c r="K63" s="49" t="str">
        <f aca="false">IF($G63&gt;0.5,$B$2-Terms!$G$5,"")</f>
        <v/>
      </c>
      <c r="L63" s="30" t="s">
        <v>834</v>
      </c>
      <c r="M63" s="30"/>
    </row>
    <row r="64" customFormat="false" ht="15" hidden="false" customHeight="false" outlineLevel="0" collapsed="false">
      <c r="A64" s="38" t="s">
        <v>144</v>
      </c>
      <c r="B64" s="38" t="s">
        <v>145</v>
      </c>
      <c r="C64" s="38" t="n">
        <v>2</v>
      </c>
      <c r="D64" s="38" t="s">
        <v>146</v>
      </c>
      <c r="E64" s="42" t="n">
        <f aca="false">SUMIFS(Children!$R$4:$R$500,Children!$B$4:$B$500,$A64,Children!$F$4:$F$500,"Enrolled",Children!$G$4:$G$500,"JAN-2026")</f>
        <v>774.5</v>
      </c>
      <c r="F64" s="42" t="n">
        <f aca="false">SUMIFS(Receipts!$B$4:$B$600,Receipts!$G$4:$G$600,$A64,Receipts!$E$4:$E$600,"JAN-2026")</f>
        <v>1184</v>
      </c>
      <c r="G64" s="42" t="n">
        <f aca="false">$E64-$F64</f>
        <v>-409.5</v>
      </c>
      <c r="H64" s="39" t="str">
        <f aca="false">IF($E64=0,"no charge",IF($F64&lt;=0,"unpaid",IF(ABS($G64)&lt;=0.5,"settled",IF($G64&gt;0,"part paid","overpaid"))))</f>
        <v>overpaid</v>
      </c>
      <c r="I64" s="43" t="n">
        <f aca="false">COUNTIFS(Receipts!$G$4:$G$600,$A64,Receipts!$E$4:$E$600,"JAN-2026")</f>
        <v>1</v>
      </c>
      <c r="J64" s="44" t="n">
        <v>46042</v>
      </c>
      <c r="K64" s="43" t="str">
        <f aca="false">IF($G64&gt;0.5,$B$2-Terms!$G$5,"")</f>
        <v/>
      </c>
      <c r="L64" s="40" t="s">
        <v>146</v>
      </c>
      <c r="M64" s="40" t="s">
        <v>816</v>
      </c>
    </row>
  </sheetData>
  <autoFilter ref="A4:M64"/>
  <conditionalFormatting sqref="A5:M64">
    <cfRule type="expression" priority="2" aboveAverage="0" equalAverage="0" bottom="0" percent="0" rank="0" text="" dxfId="13">
      <formula>$M5&lt;&gt;""</formula>
    </cfRule>
    <cfRule type="expression" priority="3" aboveAverage="0" equalAverage="0" bottom="0" percent="0" rank="0" text="" dxfId="14">
      <formula>OR($H5="settled",$H5="no charge")</formula>
    </cfRule>
    <cfRule type="expression" priority="4" aboveAverage="0" equalAverage="0" bottom="0" percent="0" rank="0" text="" dxfId="17">
      <formula>$G5&gt;0.5</formula>
    </cfRule>
  </conditionalFormatting>
  <conditionalFormatting sqref="K5:K64">
    <cfRule type="cellIs" priority="5" operator="greaterThan" aboveAverage="0" equalAverage="0" bottom="0" percent="0" rank="0" text="" dxfId="18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2026-09-01T15:19:59Z</dcterms:created>
  <dc:creator>openpyxl</dc:creator>
  <dc:description/>
  <dc:language>en-US</dc:language>
  <cp:lastModifiedBy/>
  <dcterms:modified xsi:type="dcterms:W3CDTF">2026-09-01T15:20:00Z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